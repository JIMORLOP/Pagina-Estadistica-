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trlProps/ctrlProp13.xml" ContentType="application/vnd.ms-excel.controlproperties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harts/chart6.xml" ContentType="application/vnd.openxmlformats-officedocument.drawingml.chart+xml"/>
  <Override PartName="/xl/drawings/drawing11.xml" ContentType="application/vnd.openxmlformats-officedocument.drawing+xml"/>
  <Override PartName="/xl/ctrlProps/ctrlProp18.xml" ContentType="application/vnd.ms-excel.controlproperties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osue Isaac Moreno Lopez (1)\Proyecto - Mantenimiento de areas verdes\Complementos\"/>
    </mc:Choice>
  </mc:AlternateContent>
  <xr:revisionPtr revIDLastSave="0" documentId="13_ncr:1_{5CB48C95-C7F2-4ED2-9F1A-D82B4312034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esentación" sheetId="5" r:id="rId1"/>
    <sheet name="Menú" sheetId="10" r:id="rId2"/>
    <sheet name="Costo de Materiales" sheetId="1" r:id="rId3"/>
    <sheet name="Resultado de Costos" sheetId="8" r:id="rId4"/>
    <sheet name="Diagrama Venn - Costos" sheetId="11" r:id="rId5"/>
    <sheet name="Asistencia " sheetId="6" r:id="rId6"/>
    <sheet name="Resultado de Asistencia" sheetId="9" r:id="rId7"/>
    <sheet name="Diagrama Venn -Asistencia" sheetId="12" r:id="rId8"/>
    <sheet name="Tiempo" sheetId="7" r:id="rId9"/>
    <sheet name="Resultados de Tiempo " sheetId="2" r:id="rId10"/>
    <sheet name="Diagrama Venn - Tiempo " sheetId="13" r:id="rId11"/>
  </sheets>
  <definedNames>
    <definedName name="_xlnm._FilterDatabase" localSheetId="5" hidden="1">'Asistencia '!$T$23:$AE$29</definedName>
    <definedName name="_xlnm._FilterDatabase" localSheetId="2" hidden="1">'Costo de Materiales'!$G$25:$J$40</definedName>
    <definedName name="_xlnm._FilterDatabase" localSheetId="8" hidden="1">Tiempo!$U$31:$AB$45</definedName>
    <definedName name="_xlcn.WorksheetConnection_ProbabilidadyEstadisticaD22G37" hidden="1">'Costo de Materiales'!$G$25:$J$42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-5bb7020b-06fd-44ce-b8aa-3957b87f68f2" name="Rango" connection="WorksheetConnection_Probabilidad y Estadistica!$D$22:$G$37"/>
        </x15:modelTables>
      </x15:dataModel>
    </ext>
  </extLst>
</workbook>
</file>

<file path=xl/calcChain.xml><?xml version="1.0" encoding="utf-8"?>
<calcChain xmlns="http://schemas.openxmlformats.org/spreadsheetml/2006/main">
  <c r="J21" i="1" l="1"/>
  <c r="G39" i="1" s="1"/>
  <c r="J11" i="1"/>
  <c r="G29" i="1" s="1"/>
  <c r="AS20" i="7" l="1"/>
  <c r="AR20" i="7"/>
  <c r="AQ20" i="7"/>
  <c r="AQ23" i="7" s="1"/>
  <c r="U45" i="7" s="1"/>
  <c r="AP20" i="7"/>
  <c r="AO20" i="7"/>
  <c r="AN20" i="7"/>
  <c r="AM20" i="7"/>
  <c r="AL20" i="7"/>
  <c r="AK20" i="7"/>
  <c r="AK23" i="7" s="1"/>
  <c r="AJ20" i="7"/>
  <c r="AI20" i="7"/>
  <c r="AH20" i="7"/>
  <c r="AG20" i="7"/>
  <c r="AF20" i="7"/>
  <c r="AE20" i="7"/>
  <c r="AE23" i="7" s="1"/>
  <c r="U41" i="7" s="1"/>
  <c r="AD20" i="7"/>
  <c r="AC20" i="7"/>
  <c r="AB20" i="7"/>
  <c r="AA20" i="7"/>
  <c r="Z20" i="7"/>
  <c r="Y20" i="7"/>
  <c r="Y23" i="7" s="1"/>
  <c r="X20" i="7"/>
  <c r="W20" i="7"/>
  <c r="V20" i="7"/>
  <c r="U20" i="7"/>
  <c r="T20" i="7"/>
  <c r="S20" i="7"/>
  <c r="S23" i="7" s="1"/>
  <c r="U37" i="7" s="1"/>
  <c r="R20" i="7"/>
  <c r="Q20" i="7"/>
  <c r="P20" i="7"/>
  <c r="O20" i="7"/>
  <c r="N20" i="7"/>
  <c r="M20" i="7"/>
  <c r="M23" i="7" s="1"/>
  <c r="L20" i="7"/>
  <c r="K20" i="7"/>
  <c r="J20" i="7"/>
  <c r="I20" i="7"/>
  <c r="H20" i="7"/>
  <c r="G20" i="7"/>
  <c r="G23" i="7" s="1"/>
  <c r="U33" i="7" s="1"/>
  <c r="F20" i="7"/>
  <c r="E20" i="7"/>
  <c r="D20" i="7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AX17" i="6"/>
  <c r="T29" i="6" s="1"/>
  <c r="AX16" i="6"/>
  <c r="T28" i="6" s="1"/>
  <c r="AX15" i="6"/>
  <c r="T27" i="6" s="1"/>
  <c r="AX14" i="6"/>
  <c r="T26" i="6" s="1"/>
  <c r="AX13" i="6"/>
  <c r="T25" i="6" s="1"/>
  <c r="AX12" i="6"/>
  <c r="T24" i="6" s="1"/>
  <c r="U35" i="7" l="1"/>
  <c r="U43" i="7"/>
  <c r="U39" i="7"/>
  <c r="D23" i="7"/>
  <c r="J23" i="7"/>
  <c r="U34" i="7" s="1"/>
  <c r="P23" i="7"/>
  <c r="V23" i="7"/>
  <c r="U38" i="7" s="1"/>
  <c r="AB23" i="7"/>
  <c r="AH23" i="7"/>
  <c r="U42" i="7" s="1"/>
  <c r="AN23" i="7"/>
  <c r="U32" i="7"/>
  <c r="AA36" i="6"/>
  <c r="V36" i="6"/>
  <c r="R36" i="6"/>
  <c r="T30" i="6"/>
  <c r="Z24" i="6" s="1"/>
  <c r="W24" i="6"/>
  <c r="J9" i="1"/>
  <c r="G27" i="1" s="1"/>
  <c r="J10" i="1"/>
  <c r="J12" i="1"/>
  <c r="J13" i="1"/>
  <c r="J14" i="1"/>
  <c r="J15" i="1"/>
  <c r="J16" i="1"/>
  <c r="J17" i="1"/>
  <c r="J18" i="1"/>
  <c r="J19" i="1"/>
  <c r="J20" i="1"/>
  <c r="J22" i="1"/>
  <c r="J8" i="1"/>
  <c r="G26" i="1" s="1"/>
  <c r="U36" i="7" l="1"/>
  <c r="F32" i="7"/>
  <c r="F31" i="7"/>
  <c r="U44" i="7"/>
  <c r="F34" i="7"/>
  <c r="U40" i="7"/>
  <c r="F33" i="7"/>
  <c r="Z26" i="6"/>
  <c r="Z28" i="6"/>
  <c r="Z29" i="6"/>
  <c r="Z25" i="6"/>
  <c r="Z27" i="6"/>
  <c r="D26" i="7"/>
  <c r="G26" i="7" s="1"/>
  <c r="U46" i="7"/>
  <c r="Z53" i="7"/>
  <c r="W53" i="7"/>
  <c r="T53" i="7"/>
  <c r="Y32" i="7"/>
  <c r="W32" i="7"/>
  <c r="W25" i="6"/>
  <c r="AC24" i="6"/>
  <c r="J23" i="1"/>
  <c r="G28" i="1"/>
  <c r="G30" i="1"/>
  <c r="G31" i="1"/>
  <c r="G32" i="1"/>
  <c r="G33" i="1"/>
  <c r="G34" i="1"/>
  <c r="G35" i="1"/>
  <c r="G36" i="1"/>
  <c r="G37" i="1"/>
  <c r="G38" i="1"/>
  <c r="G40" i="1"/>
  <c r="G41" i="1" l="1"/>
  <c r="Z30" i="6"/>
  <c r="I39" i="1"/>
  <c r="V12" i="1"/>
  <c r="R12" i="1"/>
  <c r="T12" i="1"/>
  <c r="N12" i="1"/>
  <c r="W33" i="7"/>
  <c r="AA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W26" i="6"/>
  <c r="AC25" i="6"/>
  <c r="X12" i="1"/>
  <c r="H26" i="1"/>
  <c r="I29" i="1" l="1"/>
  <c r="I26" i="1"/>
  <c r="I27" i="1"/>
  <c r="I28" i="1"/>
  <c r="I38" i="1"/>
  <c r="Y46" i="7"/>
  <c r="W34" i="7"/>
  <c r="AA33" i="7"/>
  <c r="W27" i="6"/>
  <c r="AC26" i="6"/>
  <c r="H27" i="1"/>
  <c r="H28" i="1" s="1"/>
  <c r="J26" i="1"/>
  <c r="I40" i="1"/>
  <c r="I37" i="1"/>
  <c r="I36" i="1"/>
  <c r="I35" i="1"/>
  <c r="I33" i="1"/>
  <c r="I32" i="1"/>
  <c r="I31" i="1"/>
  <c r="I30" i="1"/>
  <c r="I34" i="1"/>
  <c r="J28" i="1" l="1"/>
  <c r="H29" i="1"/>
  <c r="I41" i="1"/>
  <c r="W35" i="7"/>
  <c r="AA34" i="7"/>
  <c r="W28" i="6"/>
  <c r="AC27" i="6"/>
  <c r="J27" i="1"/>
  <c r="H30" i="1" l="1"/>
  <c r="H31" i="1" s="1"/>
  <c r="H32" i="1" s="1"/>
  <c r="H33" i="1" s="1"/>
  <c r="H34" i="1" s="1"/>
  <c r="J29" i="1"/>
  <c r="W36" i="7"/>
  <c r="AA35" i="7"/>
  <c r="W29" i="6"/>
  <c r="AC29" i="6" s="1"/>
  <c r="AC28" i="6"/>
  <c r="J33" i="1"/>
  <c r="J30" i="1"/>
  <c r="J31" i="1"/>
  <c r="J32" i="1"/>
  <c r="H35" i="1" l="1"/>
  <c r="J34" i="1"/>
  <c r="W37" i="7"/>
  <c r="AA36" i="7"/>
  <c r="J35" i="1"/>
  <c r="H36" i="1"/>
  <c r="H37" i="1" s="1"/>
  <c r="H38" i="1" s="1"/>
  <c r="H39" i="1" s="1"/>
  <c r="W38" i="7" l="1"/>
  <c r="AA37" i="7"/>
  <c r="J36" i="1"/>
  <c r="J39" i="1" l="1"/>
  <c r="J38" i="1"/>
  <c r="W39" i="7"/>
  <c r="AA38" i="7"/>
  <c r="J37" i="1"/>
  <c r="W40" i="7" l="1"/>
  <c r="AA39" i="7"/>
  <c r="H40" i="1"/>
  <c r="J40" i="1" s="1"/>
  <c r="W41" i="7" l="1"/>
  <c r="AA40" i="7"/>
  <c r="W42" i="7" l="1"/>
  <c r="AA41" i="7"/>
  <c r="W43" i="7" l="1"/>
  <c r="AA42" i="7"/>
  <c r="W44" i="7" l="1"/>
  <c r="AA43" i="7"/>
  <c r="W45" i="7" l="1"/>
  <c r="AA45" i="7" s="1"/>
  <c r="AA4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robabilidad y Estadistica!$D$22:$G$37" type="102" refreshedVersion="8" minRefreshableVersion="5">
    <extLst>
      <ext xmlns:x15="http://schemas.microsoft.com/office/spreadsheetml/2010/11/main" uri="{DE250136-89BD-433C-8126-D09CA5730AF9}">
        <x15:connection id="Rango-5bb7020b-06fd-44ce-b8aa-3957b87f68f2" autoDelete="1">
          <x15:rangePr sourceName="_xlcn.WorksheetConnection_ProbabilidadyEstadisticaD22G37"/>
        </x15:connection>
      </ext>
    </extLst>
  </connection>
</connections>
</file>

<file path=xl/sharedStrings.xml><?xml version="1.0" encoding="utf-8"?>
<sst xmlns="http://schemas.openxmlformats.org/spreadsheetml/2006/main" count="263" uniqueCount="178">
  <si>
    <t>Xi</t>
  </si>
  <si>
    <t>hi</t>
  </si>
  <si>
    <t>Hi</t>
  </si>
  <si>
    <t>fi</t>
  </si>
  <si>
    <t>Fi</t>
  </si>
  <si>
    <t>Brochas</t>
  </si>
  <si>
    <t>Pintura verde</t>
  </si>
  <si>
    <t>Pintura verde limon</t>
  </si>
  <si>
    <t xml:space="preserve">Pintura dorada </t>
  </si>
  <si>
    <t>Espátula</t>
  </si>
  <si>
    <t>Cal</t>
  </si>
  <si>
    <t>Bote</t>
  </si>
  <si>
    <t>Plantas</t>
  </si>
  <si>
    <t>Base para el bote</t>
  </si>
  <si>
    <t>Trapo</t>
  </si>
  <si>
    <t>Agua</t>
  </si>
  <si>
    <t xml:space="preserve">Clavo </t>
  </si>
  <si>
    <t>Bambú</t>
  </si>
  <si>
    <t>MATERIALES</t>
  </si>
  <si>
    <t>Cantidad</t>
  </si>
  <si>
    <t>Total</t>
  </si>
  <si>
    <t xml:space="preserve">Brochas </t>
  </si>
  <si>
    <t xml:space="preserve">Pintura Verde </t>
  </si>
  <si>
    <t>Pintura Verde Limon</t>
  </si>
  <si>
    <t xml:space="preserve">Pintura Dorada </t>
  </si>
  <si>
    <t>Espatula</t>
  </si>
  <si>
    <t>Base para el Bote</t>
  </si>
  <si>
    <t>COSTOS DE MATERIALES</t>
  </si>
  <si>
    <t xml:space="preserve">LISTA DE ASISTENCIA </t>
  </si>
  <si>
    <t xml:space="preserve">FEBRERO </t>
  </si>
  <si>
    <t>MARZO</t>
  </si>
  <si>
    <t>MAYO</t>
  </si>
  <si>
    <t>Josue Isaac Moreno Lopez</t>
  </si>
  <si>
    <t xml:space="preserve">Jose Angel Gomez Lopez </t>
  </si>
  <si>
    <t>Mario Alberto Eulogio Gomez</t>
  </si>
  <si>
    <t xml:space="preserve">Abraham de Jesus Pale Moshan </t>
  </si>
  <si>
    <t>Miguel Angel Perez Hernandez</t>
  </si>
  <si>
    <t xml:space="preserve">Francisco Oropeza Camacho </t>
  </si>
  <si>
    <t xml:space="preserve">ABRIL </t>
  </si>
  <si>
    <t>INTEGRANTES</t>
  </si>
  <si>
    <t>Jueves      23</t>
  </si>
  <si>
    <t>Viernes      24</t>
  </si>
  <si>
    <t>Viernes      31</t>
  </si>
  <si>
    <t>Jueves      11</t>
  </si>
  <si>
    <t>Viernes      12</t>
  </si>
  <si>
    <t>Martes      23</t>
  </si>
  <si>
    <t>Viernes      19</t>
  </si>
  <si>
    <t>Jueves      25</t>
  </si>
  <si>
    <t>Viernes     26</t>
  </si>
  <si>
    <t>Total de participacion por alumno</t>
  </si>
  <si>
    <t xml:space="preserve">Total de participacion diaria </t>
  </si>
  <si>
    <t>Costos por medida</t>
  </si>
  <si>
    <t>Jueves        16</t>
  </si>
  <si>
    <t>Viernes       17</t>
  </si>
  <si>
    <t>Martes        21</t>
  </si>
  <si>
    <t>Jueves            23</t>
  </si>
  <si>
    <t xml:space="preserve">Viernes          24 </t>
  </si>
  <si>
    <t xml:space="preserve">Martes          28 </t>
  </si>
  <si>
    <t>Jueves          2</t>
  </si>
  <si>
    <t>Viernes               3</t>
  </si>
  <si>
    <t>Martes            7</t>
  </si>
  <si>
    <t>Jueves             9</t>
  </si>
  <si>
    <t>Jueves         16</t>
  </si>
  <si>
    <t>Jueves            30</t>
  </si>
  <si>
    <t>Martes                4</t>
  </si>
  <si>
    <t>Jueves              6</t>
  </si>
  <si>
    <t>Viernes                7</t>
  </si>
  <si>
    <t>Jueves            13</t>
  </si>
  <si>
    <t>Viernes             14</t>
  </si>
  <si>
    <t>Jueves             18</t>
  </si>
  <si>
    <t>Viernes              5</t>
  </si>
  <si>
    <t>Martes            9</t>
  </si>
  <si>
    <t>Martes              18</t>
  </si>
  <si>
    <t>Jueves           20</t>
  </si>
  <si>
    <t>Martes              25</t>
  </si>
  <si>
    <t>Jueves               27</t>
  </si>
  <si>
    <t>Martes              2</t>
  </si>
  <si>
    <t>Jueves               4</t>
  </si>
  <si>
    <t>Jose Angel</t>
  </si>
  <si>
    <t xml:space="preserve">Mario Alberto </t>
  </si>
  <si>
    <t>Josue Isaac</t>
  </si>
  <si>
    <t>Francisco</t>
  </si>
  <si>
    <t>Abraham de Jesus</t>
  </si>
  <si>
    <t>Miguel Angel</t>
  </si>
  <si>
    <t xml:space="preserve">MANTENIMIENTO DE ÁREAS VERDES </t>
  </si>
  <si>
    <t>Martes        14</t>
  </si>
  <si>
    <t>Viernes        10</t>
  </si>
  <si>
    <t>Martes          14</t>
  </si>
  <si>
    <t xml:space="preserve">Viernes        17 </t>
  </si>
  <si>
    <t>Martes          21</t>
  </si>
  <si>
    <t>Martes         28</t>
  </si>
  <si>
    <t>Martes          11</t>
  </si>
  <si>
    <t>Viernes          21</t>
  </si>
  <si>
    <t>Viernes         28</t>
  </si>
  <si>
    <t>Martes          16</t>
  </si>
  <si>
    <t xml:space="preserve">MEJORAMIENTO DE ÁREAS VERDES </t>
  </si>
  <si>
    <t>MARIO ALBERTO EULOGIO GÓMEZ</t>
  </si>
  <si>
    <t xml:space="preserve">JOSÉ ÁNGEL GÓMEZ LÓPEZ </t>
  </si>
  <si>
    <t xml:space="preserve">JOSUE ISAAC MORENO LÓPEZ </t>
  </si>
  <si>
    <t xml:space="preserve">FRANCISCO OROPEZA CAMACHO </t>
  </si>
  <si>
    <t xml:space="preserve">ABRAHAM DE JESÚS PALE MOSHAN </t>
  </si>
  <si>
    <t>MIGUEL ÁNGEL PÉREZ HERNÁNDEZ</t>
  </si>
  <si>
    <t xml:space="preserve">COLEGIO DE BACHILLERES DE CHIAPAS PLANTEL 16 OCOSINGO </t>
  </si>
  <si>
    <t xml:space="preserve">Martes </t>
  </si>
  <si>
    <t>Jueves</t>
  </si>
  <si>
    <t>Viernes</t>
  </si>
  <si>
    <t xml:space="preserve">Nuestro tema fue escogido </t>
  </si>
  <si>
    <t xml:space="preserve">Nuestra área verde fue otorgada </t>
  </si>
  <si>
    <t xml:space="preserve">Semana 10:                                                          17 de abril al 21 de abril  </t>
  </si>
  <si>
    <t xml:space="preserve">Semana 9:                                                      10 de abril al 14 de abril  </t>
  </si>
  <si>
    <t xml:space="preserve">Semana 8:                                                        3 de abril al 7 de abril  </t>
  </si>
  <si>
    <t xml:space="preserve">Semana 7:                                                       27 de febrero al 31 de febrero </t>
  </si>
  <si>
    <t xml:space="preserve">Semana 4:                                                                   6 de marzo al 10 de marzo </t>
  </si>
  <si>
    <t xml:space="preserve">Semana 5:                                                                   13 de marzo al 17 de marzo </t>
  </si>
  <si>
    <t xml:space="preserve">Semana 6:                                                                  20 de marzo al 24 de marzo </t>
  </si>
  <si>
    <t xml:space="preserve">Semana 3:                                                                27 de febrero al 3 de marzo  </t>
  </si>
  <si>
    <t xml:space="preserve">Semana 2:                                                             21 de febrero al 24 de febrero </t>
  </si>
  <si>
    <t xml:space="preserve">Semana 1:                                                                           14 de febrero al 17 de febrero </t>
  </si>
  <si>
    <t xml:space="preserve">Semana 11:                                                                       24 de abril al 28 de abril  </t>
  </si>
  <si>
    <t xml:space="preserve">Semana 12:                                                                        1 de mayo al 5 de mayo </t>
  </si>
  <si>
    <t xml:space="preserve">Semana 13:                                                                        8 de mayo al 12 de mayo </t>
  </si>
  <si>
    <t xml:space="preserve">Semana 14:                                                                        15 de mayo al 19 de mayo </t>
  </si>
  <si>
    <t>Planificamos 
La elaboración del proyecto</t>
  </si>
  <si>
    <t>Medición de
Nuestra área</t>
  </si>
  <si>
    <t>Comprar materiales</t>
  </si>
  <si>
    <t xml:space="preserve">Rasparemos la pintura de los maseteros </t>
  </si>
  <si>
    <t xml:space="preserve">Pintaremos con cal los 3 árboles </t>
  </si>
  <si>
    <t xml:space="preserve">Pintamos los 2 maseteros </t>
  </si>
  <si>
    <t>Cercaremos el masetero 1 con bambú</t>
  </si>
  <si>
    <t>Pintaremos el bote para la basura</t>
  </si>
  <si>
    <t>Colocaremos el bote de basura en nuestra área verde</t>
  </si>
  <si>
    <t xml:space="preserve">Aremos un letrero </t>
  </si>
  <si>
    <t>Colocaremos el letrero</t>
  </si>
  <si>
    <t>Limpieza</t>
  </si>
  <si>
    <t>limpieza</t>
  </si>
  <si>
    <t>Buscaremos plantas decorativas</t>
  </si>
  <si>
    <t>Colocar las plantas decorativas</t>
  </si>
  <si>
    <t>Participantes</t>
  </si>
  <si>
    <t>Tiempo x participante (mins)</t>
  </si>
  <si>
    <t>Actividades a realizar</t>
  </si>
  <si>
    <t>Semanas</t>
  </si>
  <si>
    <t>Dias</t>
  </si>
  <si>
    <t xml:space="preserve">En horas: </t>
  </si>
  <si>
    <t>Semana 1</t>
  </si>
  <si>
    <t>Total del tiempo x semana(mins)</t>
  </si>
  <si>
    <t>Total  del tiempo (mins)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</si>
  <si>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</si>
  <si>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</si>
  <si>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</si>
  <si>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</si>
  <si>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</si>
  <si>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</si>
  <si>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</si>
  <si>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</si>
  <si>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</si>
  <si>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</si>
  <si>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</si>
  <si>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</si>
  <si>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</si>
  <si>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Total de tiempo x act. (mins)</t>
  </si>
  <si>
    <t>Media</t>
  </si>
  <si>
    <t xml:space="preserve">Mediana </t>
  </si>
  <si>
    <t>Moda</t>
  </si>
  <si>
    <t>Mediana</t>
  </si>
  <si>
    <t>Máximo</t>
  </si>
  <si>
    <t>Mínimo</t>
  </si>
  <si>
    <t>Pintura Roja</t>
  </si>
  <si>
    <t>Llantas</t>
  </si>
  <si>
    <t>Pintura roja</t>
  </si>
  <si>
    <t>MANTENIMIENTO DE ÁREAS VERDES</t>
  </si>
  <si>
    <t>file:///D:/Josue%20Isaac%20Moreno%20Lopez%20(1)/Proyecto%20-%20Mantenimiento%20de%20areas%20verdes/Mantenimiento%20de%20areas%20verdes.html</t>
  </si>
  <si>
    <t xml:space="preserve">Calendario de actividades a realizar </t>
  </si>
  <si>
    <t>ABRIL</t>
  </si>
  <si>
    <t>FEBRERO</t>
  </si>
  <si>
    <t>Febrero</t>
  </si>
  <si>
    <t>Marzo</t>
  </si>
  <si>
    <t>Abril</t>
  </si>
  <si>
    <t>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</si>
</sst>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;[Red]\-&quot;$&quot;#,##0"/>
    <numFmt numFmtId="164" formatCode="0.00000000"/>
    <numFmt numFmtId="165" formatCode="0.0%"/>
    <numFmt numFmtId="166" formatCode="&quot;$&quot;#,##0"/>
    <numFmt numFmtId="167" formatCode="0.000000"/>
    <numFmt numFmtId="168" formatCode="0.0000000"/>
  </numFmts>
  <fonts count="23">
    <font>
      <sz val="11"/>
      <color theme="1"/>
      <name val="Calibri"/>
      <family val="2"/>
      <scheme val="minor"/>
    </font>
    <font>
      <b/>
      <sz val="18"/>
      <color theme="1"/>
      <name val="AmerType Md BT"/>
      <family val="1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AmerType Md BT"/>
      <family val="1"/>
    </font>
    <font>
      <b/>
      <sz val="20"/>
      <color theme="1"/>
      <name val="Alone On Earth"/>
      <family val="3"/>
    </font>
    <font>
      <sz val="8"/>
      <color theme="1"/>
      <name val="Calibri"/>
      <family val="2"/>
      <scheme val="minor"/>
    </font>
    <font>
      <b/>
      <i/>
      <sz val="16"/>
      <color rgb="FF0000FF"/>
      <name val="WTF"/>
    </font>
    <font>
      <b/>
      <i/>
      <sz val="16"/>
      <color rgb="FF800000"/>
      <name val="WTF"/>
    </font>
    <font>
      <b/>
      <i/>
      <sz val="14"/>
      <color rgb="FF800000"/>
      <name val="WTF"/>
    </font>
    <font>
      <sz val="20"/>
      <color rgb="FF339966"/>
      <name val="WTF"/>
    </font>
    <font>
      <sz val="20"/>
      <color rgb="FF0000FF"/>
      <name val="WTF"/>
    </font>
    <font>
      <sz val="12"/>
      <color rgb="FF800000"/>
      <name val="WTF"/>
    </font>
    <font>
      <sz val="12"/>
      <color rgb="FF0000FF"/>
      <name val="WTF"/>
    </font>
    <font>
      <sz val="16"/>
      <color rgb="FF339966"/>
      <name val="WTF"/>
    </font>
    <font>
      <sz val="16"/>
      <color rgb="FF0000FF"/>
      <name val="WTF"/>
    </font>
    <font>
      <sz val="14"/>
      <color rgb="FF800000"/>
      <name val="WTF"/>
    </font>
    <font>
      <sz val="14"/>
      <color rgb="FF0000FF"/>
      <name val="WTF"/>
    </font>
    <font>
      <sz val="18"/>
      <color rgb="FF339966"/>
      <name val="WTF"/>
    </font>
    <font>
      <sz val="18"/>
      <color rgb="FF0000FF"/>
      <name val="WTF"/>
    </font>
    <font>
      <sz val="16"/>
      <color rgb="FF800000"/>
      <name val="WTF"/>
    </font>
  </fonts>
  <fills count="1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/>
    <xf numFmtId="0" fontId="0" fillId="0" borderId="0" xfId="0" applyAlignment="1">
      <alignment wrapText="1"/>
    </xf>
    <xf numFmtId="165" fontId="0" fillId="0" borderId="0" xfId="0" applyNumberFormat="1"/>
    <xf numFmtId="6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6" fontId="0" fillId="0" borderId="0" xfId="0" applyNumberFormat="1" applyAlignment="1">
      <alignment wrapText="1"/>
    </xf>
    <xf numFmtId="0" fontId="0" fillId="0" borderId="0" xfId="0" applyAlignment="1">
      <alignment vertical="center" wrapText="1"/>
    </xf>
    <xf numFmtId="6" fontId="0" fillId="0" borderId="0" xfId="0" applyNumberFormat="1" applyAlignment="1">
      <alignment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/>
    <xf numFmtId="0" fontId="0" fillId="2" borderId="1" xfId="0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3" borderId="1" xfId="0" applyFill="1" applyBorder="1"/>
    <xf numFmtId="0" fontId="5" fillId="0" borderId="0" xfId="1"/>
    <xf numFmtId="0" fontId="0" fillId="2" borderId="1" xfId="0" applyFill="1" applyBorder="1" applyAlignment="1">
      <alignment horizontal="center" vertical="center" wrapText="1"/>
    </xf>
    <xf numFmtId="6" fontId="0" fillId="0" borderId="3" xfId="0" applyNumberFormat="1" applyBorder="1"/>
    <xf numFmtId="0" fontId="0" fillId="0" borderId="0" xfId="0" applyAlignment="1">
      <alignment vertical="top" wrapText="1"/>
    </xf>
    <xf numFmtId="0" fontId="1" fillId="0" borderId="0" xfId="0" applyFont="1" applyAlignment="1">
      <alignment vertical="top" wrapText="1"/>
    </xf>
    <xf numFmtId="0" fontId="4" fillId="11" borderId="9" xfId="0" applyFont="1" applyFill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0" fillId="14" borderId="1" xfId="0" applyFill="1" applyBorder="1"/>
    <xf numFmtId="6" fontId="0" fillId="14" borderId="1" xfId="0" applyNumberFormat="1" applyFill="1" applyBorder="1"/>
    <xf numFmtId="12" fontId="0" fillId="14" borderId="1" xfId="0" applyNumberFormat="1" applyFill="1" applyBorder="1"/>
    <xf numFmtId="12" fontId="0" fillId="14" borderId="1" xfId="0" applyNumberFormat="1" applyFill="1" applyBorder="1" applyAlignment="1">
      <alignment wrapText="1"/>
    </xf>
    <xf numFmtId="166" fontId="0" fillId="14" borderId="1" xfId="0" applyNumberFormat="1" applyFill="1" applyBorder="1"/>
    <xf numFmtId="164" fontId="0" fillId="14" borderId="1" xfId="0" applyNumberFormat="1" applyFill="1" applyBorder="1"/>
    <xf numFmtId="1" fontId="0" fillId="14" borderId="1" xfId="0" applyNumberFormat="1" applyFill="1" applyBorder="1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2" borderId="9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1" fillId="7" borderId="0" xfId="0" applyFont="1" applyFill="1" applyAlignment="1">
      <alignment horizontal="center" vertical="top" wrapText="1"/>
    </xf>
    <xf numFmtId="1" fontId="0" fillId="14" borderId="1" xfId="0" applyNumberFormat="1" applyFill="1" applyBorder="1" applyAlignment="1">
      <alignment horizontal="center" vertical="center" wrapText="1"/>
    </xf>
    <xf numFmtId="0" fontId="0" fillId="14" borderId="3" xfId="0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6" fontId="0" fillId="14" borderId="9" xfId="0" applyNumberFormat="1" applyFill="1" applyBorder="1" applyAlignment="1">
      <alignment horizontal="center" vertical="center"/>
    </xf>
    <xf numFmtId="6" fontId="0" fillId="14" borderId="10" xfId="0" applyNumberFormat="1" applyFill="1" applyBorder="1" applyAlignment="1">
      <alignment horizontal="center" vertical="center"/>
    </xf>
    <xf numFmtId="6" fontId="0" fillId="14" borderId="11" xfId="0" applyNumberFormat="1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0" fillId="5" borderId="1" xfId="0" applyFill="1" applyBorder="1" applyAlignment="1">
      <alignment horizontal="center" vertical="center" textRotation="90" wrapText="1"/>
    </xf>
    <xf numFmtId="0" fontId="0" fillId="2" borderId="3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 wrapText="1"/>
    </xf>
    <xf numFmtId="167" fontId="0" fillId="14" borderId="1" xfId="0" applyNumberFormat="1" applyFill="1" applyBorder="1" applyAlignment="1">
      <alignment horizontal="center" vertical="center" wrapText="1"/>
    </xf>
    <xf numFmtId="168" fontId="0" fillId="14" borderId="1" xfId="0" applyNumberForma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wrapText="1"/>
    </xf>
    <xf numFmtId="0" fontId="0" fillId="14" borderId="3" xfId="0" applyFill="1" applyBorder="1" applyAlignment="1">
      <alignment horizontal="center" wrapText="1"/>
    </xf>
    <xf numFmtId="0" fontId="0" fillId="2" borderId="3" xfId="0" applyFill="1" applyBorder="1" applyAlignment="1">
      <alignment horizontal="center" vertical="center" textRotation="45" wrapText="1"/>
    </xf>
    <xf numFmtId="0" fontId="0" fillId="2" borderId="1" xfId="0" applyFill="1" applyBorder="1" applyAlignment="1">
      <alignment horizontal="center" vertical="center" textRotation="45" wrapText="1"/>
    </xf>
    <xf numFmtId="0" fontId="0" fillId="6" borderId="1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textRotation="90" wrapText="1"/>
    </xf>
    <xf numFmtId="0" fontId="0" fillId="2" borderId="1" xfId="0" applyFill="1" applyBorder="1" applyAlignment="1">
      <alignment horizontal="center" vertical="center" textRotation="90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164" fontId="0" fillId="0" borderId="7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4" fillId="11" borderId="9" xfId="0" applyFont="1" applyFill="1" applyBorder="1" applyAlignment="1">
      <alignment horizontal="center" vertical="center" wrapText="1"/>
    </xf>
    <xf numFmtId="0" fontId="4" fillId="11" borderId="10" xfId="0" applyFont="1" applyFill="1" applyBorder="1" applyAlignment="1">
      <alignment horizontal="center" vertical="center" wrapText="1"/>
    </xf>
    <xf numFmtId="0" fontId="4" fillId="11" borderId="11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textRotation="90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  <color rgb="FFFF6600"/>
      <color rgb="FF00FF00"/>
      <color rgb="FF4B4B4B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Gráfica 1</a:t>
            </a:r>
          </a:p>
          <a:p>
            <a:pPr>
              <a:defRPr lang="es-ES"/>
            </a:pPr>
            <a:r>
              <a:rPr lang="es-MX"/>
              <a:t>"Costos"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'Costo de Materiales'!$I$7</c:f>
              <c:strCache>
                <c:ptCount val="1"/>
                <c:pt idx="0">
                  <c:v>Costos por medida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5.3731345809441581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DE-4C8C-9EC3-A36F21AA7D68}"/>
                </c:ext>
              </c:extLst>
            </c:dLbl>
            <c:dLbl>
              <c:idx val="2"/>
              <c:layout>
                <c:manualLayout>
                  <c:x val="-7.1641794412588763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DE-4C8C-9EC3-A36F21AA7D68}"/>
                </c:ext>
              </c:extLst>
            </c:dLbl>
            <c:dLbl>
              <c:idx val="3"/>
              <c:layout>
                <c:manualLayout>
                  <c:x val="-5.3731345809441581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DE-4C8C-9EC3-A36F21AA7D68}"/>
                </c:ext>
              </c:extLst>
            </c:dLbl>
            <c:dLbl>
              <c:idx val="4"/>
              <c:layout>
                <c:manualLayout>
                  <c:x val="-5.3731345809441581E-3"/>
                  <c:y val="-8.4614396892454625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DE-4C8C-9EC3-A36F21AA7D68}"/>
                </c:ext>
              </c:extLst>
            </c:dLbl>
            <c:dLbl>
              <c:idx val="5"/>
              <c:layout>
                <c:manualLayout>
                  <c:x val="-5.3731345809441581E-3"/>
                  <c:y val="-8.4614396892454625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DE-4C8C-9EC3-A36F21AA7D68}"/>
                </c:ext>
              </c:extLst>
            </c:dLbl>
            <c:dLbl>
              <c:idx val="6"/>
              <c:layout>
                <c:manualLayout>
                  <c:x val="-3.5820897206295045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DE-4C8C-9EC3-A36F21AA7D68}"/>
                </c:ext>
              </c:extLst>
            </c:dLbl>
            <c:dLbl>
              <c:idx val="7"/>
              <c:layout>
                <c:manualLayout>
                  <c:x val="-7.1641794412589405E-3"/>
                  <c:y val="-8.4614396892454625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DE-4C8C-9EC3-A36F21AA7D68}"/>
                </c:ext>
              </c:extLst>
            </c:dLbl>
            <c:dLbl>
              <c:idx val="8"/>
              <c:layout>
                <c:manualLayout>
                  <c:x val="-5.3731345809441581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DE-4C8C-9EC3-A36F21AA7D68}"/>
                </c:ext>
              </c:extLst>
            </c:dLbl>
            <c:dLbl>
              <c:idx val="9"/>
              <c:layout>
                <c:manualLayout>
                  <c:x val="-3.58208972062957E-3"/>
                  <c:y val="8.4614396892454625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DE-4C8C-9EC3-A36F21AA7D68}"/>
                </c:ext>
              </c:extLst>
            </c:dLbl>
            <c:dLbl>
              <c:idx val="11"/>
              <c:layout>
                <c:manualLayout>
                  <c:x val="-7.1641794412590073E-3"/>
                  <c:y val="-8.4614396892454625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DE-4C8C-9EC3-A36F21AA7D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'Costo de Materiales'!$F$8:$F$22</c:f>
              <c:numCache>
                <c:formatCode>General</c:formatCode>
                <c:ptCount val="15"/>
              </c:numCache>
            </c:numRef>
          </c:cat>
          <c:val>
            <c:numRef>
              <c:f>'Costo de Materiales'!$I$8:$I$22</c:f>
              <c:numCache>
                <c:formatCode>"$"#,##0_);[Red]\("$"#,##0\)</c:formatCode>
                <c:ptCount val="15"/>
                <c:pt idx="0">
                  <c:v>45</c:v>
                </c:pt>
                <c:pt idx="1">
                  <c:v>135</c:v>
                </c:pt>
                <c:pt idx="2">
                  <c:v>135</c:v>
                </c:pt>
                <c:pt idx="3">
                  <c:v>135</c:v>
                </c:pt>
                <c:pt idx="4">
                  <c:v>135</c:v>
                </c:pt>
                <c:pt idx="5">
                  <c:v>17.5</c:v>
                </c:pt>
                <c:pt idx="6">
                  <c:v>6</c:v>
                </c:pt>
                <c:pt idx="7">
                  <c:v>50</c:v>
                </c:pt>
                <c:pt idx="8">
                  <c:v>30</c:v>
                </c:pt>
                <c:pt idx="9">
                  <c:v>50</c:v>
                </c:pt>
                <c:pt idx="10">
                  <c:v>10</c:v>
                </c:pt>
                <c:pt idx="11">
                  <c:v>0</c:v>
                </c:pt>
                <c:pt idx="12">
                  <c:v>60</c:v>
                </c:pt>
                <c:pt idx="13">
                  <c:v>20</c:v>
                </c:pt>
                <c:pt idx="1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9-4B4C-9A67-514FA265134C}"/>
            </c:ext>
          </c:extLst>
        </c:ser>
        <c:ser>
          <c:idx val="1"/>
          <c:order val="1"/>
          <c:tx>
            <c:strRef>
              <c:f>'Costo de Materiales'!$J$7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7.1641794412588763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DE-4C8C-9EC3-A36F21AA7D68}"/>
                </c:ext>
              </c:extLst>
            </c:dLbl>
            <c:dLbl>
              <c:idx val="2"/>
              <c:layout>
                <c:manualLayout>
                  <c:x val="5.3731345809441581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DE-4C8C-9EC3-A36F21AA7D68}"/>
                </c:ext>
              </c:extLst>
            </c:dLbl>
            <c:dLbl>
              <c:idx val="3"/>
              <c:layout>
                <c:manualLayout>
                  <c:x val="7.1641794412588763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DE-4C8C-9EC3-A36F21AA7D68}"/>
                </c:ext>
              </c:extLst>
            </c:dLbl>
            <c:dLbl>
              <c:idx val="4"/>
              <c:layout>
                <c:manualLayout>
                  <c:x val="3.5820897206293736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DE-4C8C-9EC3-A36F21AA7D68}"/>
                </c:ext>
              </c:extLst>
            </c:dLbl>
            <c:dLbl>
              <c:idx val="5"/>
              <c:layout>
                <c:manualLayout>
                  <c:x val="3.5820897206294386E-3"/>
                  <c:y val="-8.4614396892454625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DE-4C8C-9EC3-A36F21AA7D68}"/>
                </c:ext>
              </c:extLst>
            </c:dLbl>
            <c:dLbl>
              <c:idx val="6"/>
              <c:layout>
                <c:manualLayout>
                  <c:x val="5.3731345809441581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DE-4C8C-9EC3-A36F21AA7D68}"/>
                </c:ext>
              </c:extLst>
            </c:dLbl>
            <c:dLbl>
              <c:idx val="7"/>
              <c:layout>
                <c:manualLayout>
                  <c:x val="3.5820897206293736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DE-4C8C-9EC3-A36F21AA7D68}"/>
                </c:ext>
              </c:extLst>
            </c:dLbl>
            <c:dLbl>
              <c:idx val="8"/>
              <c:layout>
                <c:manualLayout>
                  <c:x val="3.5820897206293076E-3"/>
                  <c:y val="4.615384056282971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DE-4C8C-9EC3-A36F21AA7D68}"/>
                </c:ext>
              </c:extLst>
            </c:dLbl>
            <c:dLbl>
              <c:idx val="9"/>
              <c:layout>
                <c:manualLayout>
                  <c:x val="7.1641794412588763E-3"/>
                  <c:y val="8.4614396892454625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E-4C8C-9EC3-A36F21AA7D68}"/>
                </c:ext>
              </c:extLst>
            </c:dLbl>
            <c:dLbl>
              <c:idx val="11"/>
              <c:layout>
                <c:manualLayout>
                  <c:x val="5.3731345809441581E-3"/>
                  <c:y val="4.61538405628288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E-4C8C-9EC3-A36F21AA7D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'Costo de Materiales'!$F$8:$F$22</c:f>
              <c:numCache>
                <c:formatCode>General</c:formatCode>
                <c:ptCount val="15"/>
              </c:numCache>
            </c:numRef>
          </c:cat>
          <c:val>
            <c:numRef>
              <c:f>'Costo de Materiales'!$J$8:$J$22</c:f>
              <c:numCache>
                <c:formatCode>"$"#,##0_);[Red]\("$"#,##0\)</c:formatCode>
                <c:ptCount val="15"/>
                <c:pt idx="0">
                  <c:v>135</c:v>
                </c:pt>
                <c:pt idx="1">
                  <c:v>135</c:v>
                </c:pt>
                <c:pt idx="2">
                  <c:v>135</c:v>
                </c:pt>
                <c:pt idx="3">
                  <c:v>135</c:v>
                </c:pt>
                <c:pt idx="4">
                  <c:v>135</c:v>
                </c:pt>
                <c:pt idx="5">
                  <c:v>35</c:v>
                </c:pt>
                <c:pt idx="6">
                  <c:v>12</c:v>
                </c:pt>
                <c:pt idx="7">
                  <c:v>50</c:v>
                </c:pt>
                <c:pt idx="8">
                  <c:v>180</c:v>
                </c:pt>
                <c:pt idx="9">
                  <c:v>50</c:v>
                </c:pt>
                <c:pt idx="10">
                  <c:v>10</c:v>
                </c:pt>
                <c:pt idx="11">
                  <c:v>0</c:v>
                </c:pt>
                <c:pt idx="12">
                  <c:v>30</c:v>
                </c:pt>
                <c:pt idx="13">
                  <c:v>80</c:v>
                </c:pt>
                <c:pt idx="14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F9-4B4C-9A67-514FA26513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11326688"/>
        <c:axId val="311334528"/>
      </c:barChart>
      <c:catAx>
        <c:axId val="31132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334528"/>
        <c:crosses val="autoZero"/>
        <c:auto val="1"/>
        <c:lblAlgn val="ctr"/>
        <c:lblOffset val="100"/>
        <c:noMultiLvlLbl val="0"/>
      </c:catAx>
      <c:valAx>
        <c:axId val="31133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132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Gráfica 2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"Asistencia - Febrero"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'Asistencia '!$B$12</c:f>
              <c:strCache>
                <c:ptCount val="1"/>
                <c:pt idx="0">
                  <c:v>Jose Angel Gomez Lopez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'!$E$7:$AW$8</c:f>
              <c:multiLvlStrCache>
                <c:ptCount val="7"/>
                <c:lvl>
                  <c:pt idx="0">
                    <c:v>Martes        14</c:v>
                  </c:pt>
                  <c:pt idx="1">
                    <c:v>Jueves        16</c:v>
                  </c:pt>
                  <c:pt idx="2">
                    <c:v>Viernes       17</c:v>
                  </c:pt>
                  <c:pt idx="3">
                    <c:v>Martes        21</c:v>
                  </c:pt>
                  <c:pt idx="4">
                    <c:v>Jueves            23</c:v>
                  </c:pt>
                  <c:pt idx="5">
                    <c:v>Viernes          24 </c:v>
                  </c:pt>
                  <c:pt idx="6">
                    <c:v>Martes          28 </c:v>
                  </c:pt>
                </c:lvl>
                <c:lvl>
                  <c:pt idx="0">
                    <c:v>FEBRERO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'!$C$12:$AW$12</c15:sqref>
                  </c15:fullRef>
                </c:ext>
              </c:extLst>
              <c:f>'Asistencia '!$E$12:$K$12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6-4E36-95DE-38B0FE8FA424}"/>
            </c:ext>
          </c:extLst>
        </c:ser>
        <c:ser>
          <c:idx val="4"/>
          <c:order val="4"/>
          <c:tx>
            <c:strRef>
              <c:f>'Asistencia '!$B$13</c:f>
              <c:strCache>
                <c:ptCount val="1"/>
                <c:pt idx="0">
                  <c:v>Mario Alberto Eulogio Gomez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'!$E$7:$AW$8</c:f>
              <c:multiLvlStrCache>
                <c:ptCount val="7"/>
                <c:lvl>
                  <c:pt idx="0">
                    <c:v>Martes        14</c:v>
                  </c:pt>
                  <c:pt idx="1">
                    <c:v>Jueves        16</c:v>
                  </c:pt>
                  <c:pt idx="2">
                    <c:v>Viernes       17</c:v>
                  </c:pt>
                  <c:pt idx="3">
                    <c:v>Martes        21</c:v>
                  </c:pt>
                  <c:pt idx="4">
                    <c:v>Jueves            23</c:v>
                  </c:pt>
                  <c:pt idx="5">
                    <c:v>Viernes          24 </c:v>
                  </c:pt>
                  <c:pt idx="6">
                    <c:v>Martes          28 </c:v>
                  </c:pt>
                </c:lvl>
                <c:lvl>
                  <c:pt idx="0">
                    <c:v>FEBRERO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'!$C$13:$AW$13</c15:sqref>
                  </c15:fullRef>
                </c:ext>
              </c:extLst>
              <c:f>'Asistencia '!$E$13:$K$13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36-4E36-95DE-38B0FE8FA424}"/>
            </c:ext>
          </c:extLst>
        </c:ser>
        <c:ser>
          <c:idx val="5"/>
          <c:order val="5"/>
          <c:tx>
            <c:strRef>
              <c:f>'Asistencia '!$B$14</c:f>
              <c:strCache>
                <c:ptCount val="1"/>
                <c:pt idx="0">
                  <c:v>Josue Isaac Moreno Lopez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'!$E$7:$AW$8</c:f>
              <c:multiLvlStrCache>
                <c:ptCount val="7"/>
                <c:lvl>
                  <c:pt idx="0">
                    <c:v>Martes        14</c:v>
                  </c:pt>
                  <c:pt idx="1">
                    <c:v>Jueves        16</c:v>
                  </c:pt>
                  <c:pt idx="2">
                    <c:v>Viernes       17</c:v>
                  </c:pt>
                  <c:pt idx="3">
                    <c:v>Martes        21</c:v>
                  </c:pt>
                  <c:pt idx="4">
                    <c:v>Jueves            23</c:v>
                  </c:pt>
                  <c:pt idx="5">
                    <c:v>Viernes          24 </c:v>
                  </c:pt>
                  <c:pt idx="6">
                    <c:v>Martes          28 </c:v>
                  </c:pt>
                </c:lvl>
                <c:lvl>
                  <c:pt idx="0">
                    <c:v>FEBRERO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'!$C$14:$AW$14</c15:sqref>
                  </c15:fullRef>
                </c:ext>
              </c:extLst>
              <c:f>'Asistencia '!$E$14:$K$14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36-4E36-95DE-38B0FE8FA424}"/>
            </c:ext>
          </c:extLst>
        </c:ser>
        <c:ser>
          <c:idx val="6"/>
          <c:order val="6"/>
          <c:tx>
            <c:strRef>
              <c:f>'Asistencia '!$B$15</c:f>
              <c:strCache>
                <c:ptCount val="1"/>
                <c:pt idx="0">
                  <c:v>Francisco Oropeza Camacho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'!$E$7:$AW$8</c:f>
              <c:multiLvlStrCache>
                <c:ptCount val="7"/>
                <c:lvl>
                  <c:pt idx="0">
                    <c:v>Martes        14</c:v>
                  </c:pt>
                  <c:pt idx="1">
                    <c:v>Jueves        16</c:v>
                  </c:pt>
                  <c:pt idx="2">
                    <c:v>Viernes       17</c:v>
                  </c:pt>
                  <c:pt idx="3">
                    <c:v>Martes        21</c:v>
                  </c:pt>
                  <c:pt idx="4">
                    <c:v>Jueves            23</c:v>
                  </c:pt>
                  <c:pt idx="5">
                    <c:v>Viernes          24 </c:v>
                  </c:pt>
                  <c:pt idx="6">
                    <c:v>Martes          28 </c:v>
                  </c:pt>
                </c:lvl>
                <c:lvl>
                  <c:pt idx="0">
                    <c:v>FEBRERO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'!$C$15:$AW$15</c15:sqref>
                  </c15:fullRef>
                </c:ext>
              </c:extLst>
              <c:f>'Asistencia '!$E$15:$K$15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36-4E36-95DE-38B0FE8FA424}"/>
            </c:ext>
          </c:extLst>
        </c:ser>
        <c:ser>
          <c:idx val="7"/>
          <c:order val="7"/>
          <c:tx>
            <c:strRef>
              <c:f>'Asistencia '!$B$16</c:f>
              <c:strCache>
                <c:ptCount val="1"/>
                <c:pt idx="0">
                  <c:v>Abraham de Jesus Pale Moshan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'!$E$7:$AW$8</c:f>
              <c:multiLvlStrCache>
                <c:ptCount val="7"/>
                <c:lvl>
                  <c:pt idx="0">
                    <c:v>Martes        14</c:v>
                  </c:pt>
                  <c:pt idx="1">
                    <c:v>Jueves        16</c:v>
                  </c:pt>
                  <c:pt idx="2">
                    <c:v>Viernes       17</c:v>
                  </c:pt>
                  <c:pt idx="3">
                    <c:v>Martes        21</c:v>
                  </c:pt>
                  <c:pt idx="4">
                    <c:v>Jueves            23</c:v>
                  </c:pt>
                  <c:pt idx="5">
                    <c:v>Viernes          24 </c:v>
                  </c:pt>
                  <c:pt idx="6">
                    <c:v>Martes          28 </c:v>
                  </c:pt>
                </c:lvl>
                <c:lvl>
                  <c:pt idx="0">
                    <c:v>FEBRERO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'!$C$16:$AW$16</c15:sqref>
                  </c15:fullRef>
                </c:ext>
              </c:extLst>
              <c:f>'Asistencia '!$E$16:$K$16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36-4E36-95DE-38B0FE8FA424}"/>
            </c:ext>
          </c:extLst>
        </c:ser>
        <c:ser>
          <c:idx val="8"/>
          <c:order val="8"/>
          <c:tx>
            <c:strRef>
              <c:f>'Asistencia '!$B$17</c:f>
              <c:strCache>
                <c:ptCount val="1"/>
                <c:pt idx="0">
                  <c:v>Miguel Angel Perez Hernandez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'!$E$7:$AW$8</c:f>
              <c:multiLvlStrCache>
                <c:ptCount val="7"/>
                <c:lvl>
                  <c:pt idx="0">
                    <c:v>Martes        14</c:v>
                  </c:pt>
                  <c:pt idx="1">
                    <c:v>Jueves        16</c:v>
                  </c:pt>
                  <c:pt idx="2">
                    <c:v>Viernes       17</c:v>
                  </c:pt>
                  <c:pt idx="3">
                    <c:v>Martes        21</c:v>
                  </c:pt>
                  <c:pt idx="4">
                    <c:v>Jueves            23</c:v>
                  </c:pt>
                  <c:pt idx="5">
                    <c:v>Viernes          24 </c:v>
                  </c:pt>
                  <c:pt idx="6">
                    <c:v>Martes          28 </c:v>
                  </c:pt>
                </c:lvl>
                <c:lvl>
                  <c:pt idx="0">
                    <c:v>FEBRERO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'!$C$17:$AW$17</c15:sqref>
                  </c15:fullRef>
                </c:ext>
              </c:extLst>
              <c:f>'Asistencia '!$E$17:$K$17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36-4E36-95DE-38B0FE8FA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0874416"/>
        <c:axId val="3008740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'Asistencia '!$B$9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'!$E$7:$AW$8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Martes        14</c:v>
                        </c:pt>
                        <c:pt idx="1">
                          <c:v>Jueves        16</c:v>
                        </c:pt>
                        <c:pt idx="2">
                          <c:v>Viernes       17</c:v>
                        </c:pt>
                        <c:pt idx="3">
                          <c:v>Martes        21</c:v>
                        </c:pt>
                        <c:pt idx="4">
                          <c:v>Jueves            23</c:v>
                        </c:pt>
                        <c:pt idx="5">
                          <c:v>Viernes          24 </c:v>
                        </c:pt>
                        <c:pt idx="6">
                          <c:v>Martes          28 </c:v>
                        </c:pt>
                      </c:lvl>
                      <c:lvl>
                        <c:pt idx="0">
                          <c:v>FEBRERO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'Asistencia '!$C$9:$AW$9</c15:sqref>
                        </c15:fullRef>
                        <c15:formulaRef>
                          <c15:sqref>'Asistencia '!$E$9:$K$9</c15:sqref>
                        </c15:formulaRef>
                      </c:ext>
                    </c:extLst>
                    <c:numCache>
                      <c:formatCode>General</c:formatCode>
                      <c:ptCount val="7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A736-4E36-95DE-38B0FE8FA42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'!$E$7:$AW$8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Martes        14</c:v>
                        </c:pt>
                        <c:pt idx="1">
                          <c:v>Jueves        16</c:v>
                        </c:pt>
                        <c:pt idx="2">
                          <c:v>Viernes       17</c:v>
                        </c:pt>
                        <c:pt idx="3">
                          <c:v>Martes        21</c:v>
                        </c:pt>
                        <c:pt idx="4">
                          <c:v>Jueves            23</c:v>
                        </c:pt>
                        <c:pt idx="5">
                          <c:v>Viernes          24 </c:v>
                        </c:pt>
                        <c:pt idx="6">
                          <c:v>Martes          28 </c:v>
                        </c:pt>
                      </c:lvl>
                      <c:lvl>
                        <c:pt idx="0">
                          <c:v>FEBRERO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'!$C$10:$AW$10</c15:sqref>
                        </c15:fullRef>
                        <c15:formulaRef>
                          <c15:sqref>'Asistencia '!$E$10:$K$10</c15:sqref>
                        </c15:formulaRef>
                      </c:ext>
                    </c:extLst>
                    <c:numCache>
                      <c:formatCode>General</c:formatCode>
                      <c:ptCount val="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736-4E36-95DE-38B0FE8FA42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'!$E$7:$AW$8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Martes        14</c:v>
                        </c:pt>
                        <c:pt idx="1">
                          <c:v>Jueves        16</c:v>
                        </c:pt>
                        <c:pt idx="2">
                          <c:v>Viernes       17</c:v>
                        </c:pt>
                        <c:pt idx="3">
                          <c:v>Martes        21</c:v>
                        </c:pt>
                        <c:pt idx="4">
                          <c:v>Jueves            23</c:v>
                        </c:pt>
                        <c:pt idx="5">
                          <c:v>Viernes          24 </c:v>
                        </c:pt>
                        <c:pt idx="6">
                          <c:v>Martes          28 </c:v>
                        </c:pt>
                      </c:lvl>
                      <c:lvl>
                        <c:pt idx="0">
                          <c:v>FEBRERO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'!$C$11:$AW$11</c15:sqref>
                        </c15:fullRef>
                        <c15:formulaRef>
                          <c15:sqref>'Asistencia '!$E$11:$K$11</c15:sqref>
                        </c15:formulaRef>
                      </c:ext>
                    </c:extLst>
                    <c:numCache>
                      <c:formatCode>General</c:formatCode>
                      <c:ptCount val="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736-4E36-95DE-38B0FE8FA424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'!$B$18</c15:sqref>
                        </c15:formulaRef>
                      </c:ext>
                    </c:extLst>
                    <c:strCache>
                      <c:ptCount val="1"/>
                      <c:pt idx="0">
                        <c:v>Total de participacion diaria 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'!$E$7:$AW$8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Martes        14</c:v>
                        </c:pt>
                        <c:pt idx="1">
                          <c:v>Jueves        16</c:v>
                        </c:pt>
                        <c:pt idx="2">
                          <c:v>Viernes       17</c:v>
                        </c:pt>
                        <c:pt idx="3">
                          <c:v>Martes        21</c:v>
                        </c:pt>
                        <c:pt idx="4">
                          <c:v>Jueves            23</c:v>
                        </c:pt>
                        <c:pt idx="5">
                          <c:v>Viernes          24 </c:v>
                        </c:pt>
                        <c:pt idx="6">
                          <c:v>Martes          28 </c:v>
                        </c:pt>
                      </c:lvl>
                      <c:lvl>
                        <c:pt idx="0">
                          <c:v>FEBRERO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'!$C$18:$AW$18</c15:sqref>
                        </c15:fullRef>
                        <c15:formulaRef>
                          <c15:sqref>'Asistencia '!$E$18:$K$18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6</c:v>
                      </c:pt>
                      <c:pt idx="2">
                        <c:v>6</c:v>
                      </c:pt>
                      <c:pt idx="3">
                        <c:v>6</c:v>
                      </c:pt>
                      <c:pt idx="4">
                        <c:v>6</c:v>
                      </c:pt>
                      <c:pt idx="5">
                        <c:v>6</c:v>
                      </c:pt>
                      <c:pt idx="6">
                        <c:v>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736-4E36-95DE-38B0FE8FA424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'!$E$7:$AW$8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Martes        14</c:v>
                        </c:pt>
                        <c:pt idx="1">
                          <c:v>Jueves        16</c:v>
                        </c:pt>
                        <c:pt idx="2">
                          <c:v>Viernes       17</c:v>
                        </c:pt>
                        <c:pt idx="3">
                          <c:v>Martes        21</c:v>
                        </c:pt>
                        <c:pt idx="4">
                          <c:v>Jueves            23</c:v>
                        </c:pt>
                        <c:pt idx="5">
                          <c:v>Viernes          24 </c:v>
                        </c:pt>
                        <c:pt idx="6">
                          <c:v>Martes          28 </c:v>
                        </c:pt>
                      </c:lvl>
                      <c:lvl>
                        <c:pt idx="0">
                          <c:v>FEBRERO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'!$C$19:$AW$19</c15:sqref>
                        </c15:fullRef>
                        <c15:formulaRef>
                          <c15:sqref>'Asistencia '!$E$19:$K$19</c15:sqref>
                        </c15:formulaRef>
                      </c:ext>
                    </c:extLst>
                    <c:numCache>
                      <c:formatCode>General</c:formatCode>
                      <c:ptCount val="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736-4E36-95DE-38B0FE8FA424}"/>
                  </c:ext>
                </c:extLst>
              </c15:ser>
            </c15:filteredBarSeries>
          </c:ext>
        </c:extLst>
      </c:barChart>
      <c:catAx>
        <c:axId val="30087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Colaboradores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0874024"/>
        <c:crosses val="autoZero"/>
        <c:auto val="1"/>
        <c:lblAlgn val="ctr"/>
        <c:lblOffset val="100"/>
        <c:noMultiLvlLbl val="0"/>
      </c:catAx>
      <c:valAx>
        <c:axId val="30087402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ASISTIÓ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crossAx val="30087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Gráfica 3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"Asistencia</a:t>
            </a:r>
            <a:r>
              <a:rPr lang="es-MX" baseline="0"/>
              <a:t> - Marzo"</a:t>
            </a:r>
            <a:endParaRPr lang="es-MX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'Asistencia '!$B$12</c:f>
              <c:strCache>
                <c:ptCount val="1"/>
                <c:pt idx="0">
                  <c:v>Jose Angel Gomez Lopez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'!$L$7:$AW$8</c:f>
              <c:multiLvlStrCache>
                <c:ptCount val="14"/>
                <c:lvl>
                  <c:pt idx="0">
                    <c:v>Jueves          2</c:v>
                  </c:pt>
                  <c:pt idx="1">
                    <c:v>Viernes               3</c:v>
                  </c:pt>
                  <c:pt idx="2">
                    <c:v>Martes            7</c:v>
                  </c:pt>
                  <c:pt idx="3">
                    <c:v>Jueves             9</c:v>
                  </c:pt>
                  <c:pt idx="4">
                    <c:v>Viernes        10</c:v>
                  </c:pt>
                  <c:pt idx="5">
                    <c:v>Martes          14</c:v>
                  </c:pt>
                  <c:pt idx="6">
                    <c:v>Jueves         16</c:v>
                  </c:pt>
                  <c:pt idx="7">
                    <c:v>Viernes        17 </c:v>
                  </c:pt>
                  <c:pt idx="8">
                    <c:v>Martes          21</c:v>
                  </c:pt>
                  <c:pt idx="9">
                    <c:v>Jueves      23</c:v>
                  </c:pt>
                  <c:pt idx="10">
                    <c:v>Viernes      24</c:v>
                  </c:pt>
                  <c:pt idx="11">
                    <c:v>Martes         28</c:v>
                  </c:pt>
                  <c:pt idx="12">
                    <c:v>Jueves            30</c:v>
                  </c:pt>
                  <c:pt idx="13">
                    <c:v>Viernes      31</c:v>
                  </c:pt>
                </c:lvl>
                <c:lvl>
                  <c:pt idx="0">
                    <c:v>MARZO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'!$C$12:$AW$12</c15:sqref>
                  </c15:fullRef>
                </c:ext>
              </c:extLst>
              <c:f>'Asistencia '!$L$12:$Y$12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23-4248-B7B1-A954C6A73826}"/>
            </c:ext>
          </c:extLst>
        </c:ser>
        <c:ser>
          <c:idx val="4"/>
          <c:order val="4"/>
          <c:tx>
            <c:strRef>
              <c:f>'Asistencia '!$B$13</c:f>
              <c:strCache>
                <c:ptCount val="1"/>
                <c:pt idx="0">
                  <c:v>Mario Alberto Eulogio Gomez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'!$L$7:$AW$8</c:f>
              <c:multiLvlStrCache>
                <c:ptCount val="14"/>
                <c:lvl>
                  <c:pt idx="0">
                    <c:v>Jueves          2</c:v>
                  </c:pt>
                  <c:pt idx="1">
                    <c:v>Viernes               3</c:v>
                  </c:pt>
                  <c:pt idx="2">
                    <c:v>Martes            7</c:v>
                  </c:pt>
                  <c:pt idx="3">
                    <c:v>Jueves             9</c:v>
                  </c:pt>
                  <c:pt idx="4">
                    <c:v>Viernes        10</c:v>
                  </c:pt>
                  <c:pt idx="5">
                    <c:v>Martes          14</c:v>
                  </c:pt>
                  <c:pt idx="6">
                    <c:v>Jueves         16</c:v>
                  </c:pt>
                  <c:pt idx="7">
                    <c:v>Viernes        17 </c:v>
                  </c:pt>
                  <c:pt idx="8">
                    <c:v>Martes          21</c:v>
                  </c:pt>
                  <c:pt idx="9">
                    <c:v>Jueves      23</c:v>
                  </c:pt>
                  <c:pt idx="10">
                    <c:v>Viernes      24</c:v>
                  </c:pt>
                  <c:pt idx="11">
                    <c:v>Martes         28</c:v>
                  </c:pt>
                  <c:pt idx="12">
                    <c:v>Jueves            30</c:v>
                  </c:pt>
                  <c:pt idx="13">
                    <c:v>Viernes      31</c:v>
                  </c:pt>
                </c:lvl>
                <c:lvl>
                  <c:pt idx="0">
                    <c:v>MARZO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'!$C$13:$AW$13</c15:sqref>
                  </c15:fullRef>
                </c:ext>
              </c:extLst>
              <c:f>'Asistencia '!$L$13:$Y$13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23-4248-B7B1-A954C6A73826}"/>
            </c:ext>
          </c:extLst>
        </c:ser>
        <c:ser>
          <c:idx val="5"/>
          <c:order val="5"/>
          <c:tx>
            <c:strRef>
              <c:f>'Asistencia '!$B$14</c:f>
              <c:strCache>
                <c:ptCount val="1"/>
                <c:pt idx="0">
                  <c:v>Josue Isaac Moreno Lopez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'!$L$7:$AW$8</c:f>
              <c:multiLvlStrCache>
                <c:ptCount val="14"/>
                <c:lvl>
                  <c:pt idx="0">
                    <c:v>Jueves          2</c:v>
                  </c:pt>
                  <c:pt idx="1">
                    <c:v>Viernes               3</c:v>
                  </c:pt>
                  <c:pt idx="2">
                    <c:v>Martes            7</c:v>
                  </c:pt>
                  <c:pt idx="3">
                    <c:v>Jueves             9</c:v>
                  </c:pt>
                  <c:pt idx="4">
                    <c:v>Viernes        10</c:v>
                  </c:pt>
                  <c:pt idx="5">
                    <c:v>Martes          14</c:v>
                  </c:pt>
                  <c:pt idx="6">
                    <c:v>Jueves         16</c:v>
                  </c:pt>
                  <c:pt idx="7">
                    <c:v>Viernes        17 </c:v>
                  </c:pt>
                  <c:pt idx="8">
                    <c:v>Martes          21</c:v>
                  </c:pt>
                  <c:pt idx="9">
                    <c:v>Jueves      23</c:v>
                  </c:pt>
                  <c:pt idx="10">
                    <c:v>Viernes      24</c:v>
                  </c:pt>
                  <c:pt idx="11">
                    <c:v>Martes         28</c:v>
                  </c:pt>
                  <c:pt idx="12">
                    <c:v>Jueves            30</c:v>
                  </c:pt>
                  <c:pt idx="13">
                    <c:v>Viernes      31</c:v>
                  </c:pt>
                </c:lvl>
                <c:lvl>
                  <c:pt idx="0">
                    <c:v>MARZO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'!$C$14:$AW$14</c15:sqref>
                  </c15:fullRef>
                </c:ext>
              </c:extLst>
              <c:f>'Asistencia '!$L$14:$Y$14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23-4248-B7B1-A954C6A73826}"/>
            </c:ext>
          </c:extLst>
        </c:ser>
        <c:ser>
          <c:idx val="6"/>
          <c:order val="6"/>
          <c:tx>
            <c:strRef>
              <c:f>'Asistencia '!$B$15</c:f>
              <c:strCache>
                <c:ptCount val="1"/>
                <c:pt idx="0">
                  <c:v>Francisco Oropeza Camacho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'!$L$7:$AW$8</c:f>
              <c:multiLvlStrCache>
                <c:ptCount val="14"/>
                <c:lvl>
                  <c:pt idx="0">
                    <c:v>Jueves          2</c:v>
                  </c:pt>
                  <c:pt idx="1">
                    <c:v>Viernes               3</c:v>
                  </c:pt>
                  <c:pt idx="2">
                    <c:v>Martes            7</c:v>
                  </c:pt>
                  <c:pt idx="3">
                    <c:v>Jueves             9</c:v>
                  </c:pt>
                  <c:pt idx="4">
                    <c:v>Viernes        10</c:v>
                  </c:pt>
                  <c:pt idx="5">
                    <c:v>Martes          14</c:v>
                  </c:pt>
                  <c:pt idx="6">
                    <c:v>Jueves         16</c:v>
                  </c:pt>
                  <c:pt idx="7">
                    <c:v>Viernes        17 </c:v>
                  </c:pt>
                  <c:pt idx="8">
                    <c:v>Martes          21</c:v>
                  </c:pt>
                  <c:pt idx="9">
                    <c:v>Jueves      23</c:v>
                  </c:pt>
                  <c:pt idx="10">
                    <c:v>Viernes      24</c:v>
                  </c:pt>
                  <c:pt idx="11">
                    <c:v>Martes         28</c:v>
                  </c:pt>
                  <c:pt idx="12">
                    <c:v>Jueves            30</c:v>
                  </c:pt>
                  <c:pt idx="13">
                    <c:v>Viernes      31</c:v>
                  </c:pt>
                </c:lvl>
                <c:lvl>
                  <c:pt idx="0">
                    <c:v>MARZO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'!$C$15:$AW$15</c15:sqref>
                  </c15:fullRef>
                </c:ext>
              </c:extLst>
              <c:f>'Asistencia '!$L$15:$Y$15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23-4248-B7B1-A954C6A73826}"/>
            </c:ext>
          </c:extLst>
        </c:ser>
        <c:ser>
          <c:idx val="7"/>
          <c:order val="7"/>
          <c:tx>
            <c:strRef>
              <c:f>'Asistencia '!$B$16</c:f>
              <c:strCache>
                <c:ptCount val="1"/>
                <c:pt idx="0">
                  <c:v>Abraham de Jesus Pale Moshan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'!$L$7:$AW$8</c:f>
              <c:multiLvlStrCache>
                <c:ptCount val="14"/>
                <c:lvl>
                  <c:pt idx="0">
                    <c:v>Jueves          2</c:v>
                  </c:pt>
                  <c:pt idx="1">
                    <c:v>Viernes               3</c:v>
                  </c:pt>
                  <c:pt idx="2">
                    <c:v>Martes            7</c:v>
                  </c:pt>
                  <c:pt idx="3">
                    <c:v>Jueves             9</c:v>
                  </c:pt>
                  <c:pt idx="4">
                    <c:v>Viernes        10</c:v>
                  </c:pt>
                  <c:pt idx="5">
                    <c:v>Martes          14</c:v>
                  </c:pt>
                  <c:pt idx="6">
                    <c:v>Jueves         16</c:v>
                  </c:pt>
                  <c:pt idx="7">
                    <c:v>Viernes        17 </c:v>
                  </c:pt>
                  <c:pt idx="8">
                    <c:v>Martes          21</c:v>
                  </c:pt>
                  <c:pt idx="9">
                    <c:v>Jueves      23</c:v>
                  </c:pt>
                  <c:pt idx="10">
                    <c:v>Viernes      24</c:v>
                  </c:pt>
                  <c:pt idx="11">
                    <c:v>Martes         28</c:v>
                  </c:pt>
                  <c:pt idx="12">
                    <c:v>Jueves            30</c:v>
                  </c:pt>
                  <c:pt idx="13">
                    <c:v>Viernes      31</c:v>
                  </c:pt>
                </c:lvl>
                <c:lvl>
                  <c:pt idx="0">
                    <c:v>MARZO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'!$C$16:$AW$16</c15:sqref>
                  </c15:fullRef>
                </c:ext>
              </c:extLst>
              <c:f>'Asistencia '!$L$16:$Y$16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23-4248-B7B1-A954C6A73826}"/>
            </c:ext>
          </c:extLst>
        </c:ser>
        <c:ser>
          <c:idx val="8"/>
          <c:order val="8"/>
          <c:tx>
            <c:strRef>
              <c:f>'Asistencia '!$B$17</c:f>
              <c:strCache>
                <c:ptCount val="1"/>
                <c:pt idx="0">
                  <c:v>Miguel Angel Perez Hernandez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'!$L$7:$AW$8</c:f>
              <c:multiLvlStrCache>
                <c:ptCount val="14"/>
                <c:lvl>
                  <c:pt idx="0">
                    <c:v>Jueves          2</c:v>
                  </c:pt>
                  <c:pt idx="1">
                    <c:v>Viernes               3</c:v>
                  </c:pt>
                  <c:pt idx="2">
                    <c:v>Martes            7</c:v>
                  </c:pt>
                  <c:pt idx="3">
                    <c:v>Jueves             9</c:v>
                  </c:pt>
                  <c:pt idx="4">
                    <c:v>Viernes        10</c:v>
                  </c:pt>
                  <c:pt idx="5">
                    <c:v>Martes          14</c:v>
                  </c:pt>
                  <c:pt idx="6">
                    <c:v>Jueves         16</c:v>
                  </c:pt>
                  <c:pt idx="7">
                    <c:v>Viernes        17 </c:v>
                  </c:pt>
                  <c:pt idx="8">
                    <c:v>Martes          21</c:v>
                  </c:pt>
                  <c:pt idx="9">
                    <c:v>Jueves      23</c:v>
                  </c:pt>
                  <c:pt idx="10">
                    <c:v>Viernes      24</c:v>
                  </c:pt>
                  <c:pt idx="11">
                    <c:v>Martes         28</c:v>
                  </c:pt>
                  <c:pt idx="12">
                    <c:v>Jueves            30</c:v>
                  </c:pt>
                  <c:pt idx="13">
                    <c:v>Viernes      31</c:v>
                  </c:pt>
                </c:lvl>
                <c:lvl>
                  <c:pt idx="0">
                    <c:v>MARZO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'!$C$17:$AW$17</c15:sqref>
                  </c15:fullRef>
                </c:ext>
              </c:extLst>
              <c:f>'Asistencia '!$L$17:$Y$17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23-4248-B7B1-A954C6A7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780624"/>
        <c:axId val="2737810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'Asistencia '!$B$9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'!$L$7:$AW$8</c15:sqref>
                        </c15:formulaRef>
                      </c:ext>
                    </c:extLst>
                    <c:multiLvlStrCache>
                      <c:ptCount val="14"/>
                      <c:lvl>
                        <c:pt idx="0">
                          <c:v>Jueves          2</c:v>
                        </c:pt>
                        <c:pt idx="1">
                          <c:v>Viernes               3</c:v>
                        </c:pt>
                        <c:pt idx="2">
                          <c:v>Martes            7</c:v>
                        </c:pt>
                        <c:pt idx="3">
                          <c:v>Jueves             9</c:v>
                        </c:pt>
                        <c:pt idx="4">
                          <c:v>Viernes        10</c:v>
                        </c:pt>
                        <c:pt idx="5">
                          <c:v>Martes          14</c:v>
                        </c:pt>
                        <c:pt idx="6">
                          <c:v>Jueves         16</c:v>
                        </c:pt>
                        <c:pt idx="7">
                          <c:v>Viernes        17 </c:v>
                        </c:pt>
                        <c:pt idx="8">
                          <c:v>Martes          21</c:v>
                        </c:pt>
                        <c:pt idx="9">
                          <c:v>Jueves      23</c:v>
                        </c:pt>
                        <c:pt idx="10">
                          <c:v>Viernes      24</c:v>
                        </c:pt>
                        <c:pt idx="11">
                          <c:v>Martes         28</c:v>
                        </c:pt>
                        <c:pt idx="12">
                          <c:v>Jueves            30</c:v>
                        </c:pt>
                        <c:pt idx="13">
                          <c:v>Viernes      31</c:v>
                        </c:pt>
                      </c:lvl>
                      <c:lvl>
                        <c:pt idx="0">
                          <c:v>MARZO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'Asistencia '!$C$9:$AW$9</c15:sqref>
                        </c15:fullRef>
                        <c15:formulaRef>
                          <c15:sqref>'Asistencia '!$L$9:$Y$9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A23-4248-B7B1-A954C6A73826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'!$L$7:$AW$8</c15:sqref>
                        </c15:formulaRef>
                      </c:ext>
                    </c:extLst>
                    <c:multiLvlStrCache>
                      <c:ptCount val="14"/>
                      <c:lvl>
                        <c:pt idx="0">
                          <c:v>Jueves          2</c:v>
                        </c:pt>
                        <c:pt idx="1">
                          <c:v>Viernes               3</c:v>
                        </c:pt>
                        <c:pt idx="2">
                          <c:v>Martes            7</c:v>
                        </c:pt>
                        <c:pt idx="3">
                          <c:v>Jueves             9</c:v>
                        </c:pt>
                        <c:pt idx="4">
                          <c:v>Viernes        10</c:v>
                        </c:pt>
                        <c:pt idx="5">
                          <c:v>Martes          14</c:v>
                        </c:pt>
                        <c:pt idx="6">
                          <c:v>Jueves         16</c:v>
                        </c:pt>
                        <c:pt idx="7">
                          <c:v>Viernes        17 </c:v>
                        </c:pt>
                        <c:pt idx="8">
                          <c:v>Martes          21</c:v>
                        </c:pt>
                        <c:pt idx="9">
                          <c:v>Jueves      23</c:v>
                        </c:pt>
                        <c:pt idx="10">
                          <c:v>Viernes      24</c:v>
                        </c:pt>
                        <c:pt idx="11">
                          <c:v>Martes         28</c:v>
                        </c:pt>
                        <c:pt idx="12">
                          <c:v>Jueves            30</c:v>
                        </c:pt>
                        <c:pt idx="13">
                          <c:v>Viernes      31</c:v>
                        </c:pt>
                      </c:lvl>
                      <c:lvl>
                        <c:pt idx="0">
                          <c:v>MARZO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'!$C$10:$AW$10</c15:sqref>
                        </c15:fullRef>
                        <c15:formulaRef>
                          <c15:sqref>'Asistencia '!$L$10:$Y$10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A23-4248-B7B1-A954C6A73826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'!$L$7:$AW$8</c15:sqref>
                        </c15:formulaRef>
                      </c:ext>
                    </c:extLst>
                    <c:multiLvlStrCache>
                      <c:ptCount val="14"/>
                      <c:lvl>
                        <c:pt idx="0">
                          <c:v>Jueves          2</c:v>
                        </c:pt>
                        <c:pt idx="1">
                          <c:v>Viernes               3</c:v>
                        </c:pt>
                        <c:pt idx="2">
                          <c:v>Martes            7</c:v>
                        </c:pt>
                        <c:pt idx="3">
                          <c:v>Jueves             9</c:v>
                        </c:pt>
                        <c:pt idx="4">
                          <c:v>Viernes        10</c:v>
                        </c:pt>
                        <c:pt idx="5">
                          <c:v>Martes          14</c:v>
                        </c:pt>
                        <c:pt idx="6">
                          <c:v>Jueves         16</c:v>
                        </c:pt>
                        <c:pt idx="7">
                          <c:v>Viernes        17 </c:v>
                        </c:pt>
                        <c:pt idx="8">
                          <c:v>Martes          21</c:v>
                        </c:pt>
                        <c:pt idx="9">
                          <c:v>Jueves      23</c:v>
                        </c:pt>
                        <c:pt idx="10">
                          <c:v>Viernes      24</c:v>
                        </c:pt>
                        <c:pt idx="11">
                          <c:v>Martes         28</c:v>
                        </c:pt>
                        <c:pt idx="12">
                          <c:v>Jueves            30</c:v>
                        </c:pt>
                        <c:pt idx="13">
                          <c:v>Viernes      31</c:v>
                        </c:pt>
                      </c:lvl>
                      <c:lvl>
                        <c:pt idx="0">
                          <c:v>MARZO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'!$C$11:$AW$11</c15:sqref>
                        </c15:fullRef>
                        <c15:formulaRef>
                          <c15:sqref>'Asistencia '!$L$11:$Y$11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A23-4248-B7B1-A954C6A73826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'!$B$18</c15:sqref>
                        </c15:formulaRef>
                      </c:ext>
                    </c:extLst>
                    <c:strCache>
                      <c:ptCount val="1"/>
                      <c:pt idx="0">
                        <c:v>Total de participacion diaria 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'!$L$7:$AW$8</c15:sqref>
                        </c15:formulaRef>
                      </c:ext>
                    </c:extLst>
                    <c:multiLvlStrCache>
                      <c:ptCount val="14"/>
                      <c:lvl>
                        <c:pt idx="0">
                          <c:v>Jueves          2</c:v>
                        </c:pt>
                        <c:pt idx="1">
                          <c:v>Viernes               3</c:v>
                        </c:pt>
                        <c:pt idx="2">
                          <c:v>Martes            7</c:v>
                        </c:pt>
                        <c:pt idx="3">
                          <c:v>Jueves             9</c:v>
                        </c:pt>
                        <c:pt idx="4">
                          <c:v>Viernes        10</c:v>
                        </c:pt>
                        <c:pt idx="5">
                          <c:v>Martes          14</c:v>
                        </c:pt>
                        <c:pt idx="6">
                          <c:v>Jueves         16</c:v>
                        </c:pt>
                        <c:pt idx="7">
                          <c:v>Viernes        17 </c:v>
                        </c:pt>
                        <c:pt idx="8">
                          <c:v>Martes          21</c:v>
                        </c:pt>
                        <c:pt idx="9">
                          <c:v>Jueves      23</c:v>
                        </c:pt>
                        <c:pt idx="10">
                          <c:v>Viernes      24</c:v>
                        </c:pt>
                        <c:pt idx="11">
                          <c:v>Martes         28</c:v>
                        </c:pt>
                        <c:pt idx="12">
                          <c:v>Jueves            30</c:v>
                        </c:pt>
                        <c:pt idx="13">
                          <c:v>Viernes      31</c:v>
                        </c:pt>
                      </c:lvl>
                      <c:lvl>
                        <c:pt idx="0">
                          <c:v>MARZO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'!$C$18:$AW$18</c15:sqref>
                        </c15:fullRef>
                        <c15:formulaRef>
                          <c15:sqref>'Asistencia '!$L$18:$Y$18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6</c:v>
                      </c:pt>
                      <c:pt idx="1">
                        <c:v>6</c:v>
                      </c:pt>
                      <c:pt idx="2">
                        <c:v>6</c:v>
                      </c:pt>
                      <c:pt idx="3">
                        <c:v>6</c:v>
                      </c:pt>
                      <c:pt idx="4">
                        <c:v>6</c:v>
                      </c:pt>
                      <c:pt idx="5">
                        <c:v>6</c:v>
                      </c:pt>
                      <c:pt idx="6">
                        <c:v>6</c:v>
                      </c:pt>
                      <c:pt idx="7">
                        <c:v>6</c:v>
                      </c:pt>
                      <c:pt idx="8">
                        <c:v>6</c:v>
                      </c:pt>
                      <c:pt idx="9">
                        <c:v>6</c:v>
                      </c:pt>
                      <c:pt idx="10">
                        <c:v>6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A23-4248-B7B1-A954C6A73826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'!$L$7:$AW$8</c15:sqref>
                        </c15:formulaRef>
                      </c:ext>
                    </c:extLst>
                    <c:multiLvlStrCache>
                      <c:ptCount val="14"/>
                      <c:lvl>
                        <c:pt idx="0">
                          <c:v>Jueves          2</c:v>
                        </c:pt>
                        <c:pt idx="1">
                          <c:v>Viernes               3</c:v>
                        </c:pt>
                        <c:pt idx="2">
                          <c:v>Martes            7</c:v>
                        </c:pt>
                        <c:pt idx="3">
                          <c:v>Jueves             9</c:v>
                        </c:pt>
                        <c:pt idx="4">
                          <c:v>Viernes        10</c:v>
                        </c:pt>
                        <c:pt idx="5">
                          <c:v>Martes          14</c:v>
                        </c:pt>
                        <c:pt idx="6">
                          <c:v>Jueves         16</c:v>
                        </c:pt>
                        <c:pt idx="7">
                          <c:v>Viernes        17 </c:v>
                        </c:pt>
                        <c:pt idx="8">
                          <c:v>Martes          21</c:v>
                        </c:pt>
                        <c:pt idx="9">
                          <c:v>Jueves      23</c:v>
                        </c:pt>
                        <c:pt idx="10">
                          <c:v>Viernes      24</c:v>
                        </c:pt>
                        <c:pt idx="11">
                          <c:v>Martes         28</c:v>
                        </c:pt>
                        <c:pt idx="12">
                          <c:v>Jueves            30</c:v>
                        </c:pt>
                        <c:pt idx="13">
                          <c:v>Viernes      31</c:v>
                        </c:pt>
                      </c:lvl>
                      <c:lvl>
                        <c:pt idx="0">
                          <c:v>MARZO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'!$C$19:$AW$19</c15:sqref>
                        </c15:fullRef>
                        <c15:formulaRef>
                          <c15:sqref>'Asistencia '!$L$19:$Y$19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A23-4248-B7B1-A954C6A73826}"/>
                  </c:ext>
                </c:extLst>
              </c15:ser>
            </c15:filteredBarSeries>
          </c:ext>
        </c:extLst>
      </c:barChart>
      <c:catAx>
        <c:axId val="27378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Colaboradores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3781016"/>
        <c:crosses val="autoZero"/>
        <c:auto val="1"/>
        <c:lblAlgn val="ctr"/>
        <c:lblOffset val="100"/>
        <c:noMultiLvlLbl val="0"/>
      </c:catAx>
      <c:valAx>
        <c:axId val="27378101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ASISTIÓ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crossAx val="27378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Gráfica 4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"Asistencia</a:t>
            </a:r>
            <a:r>
              <a:rPr lang="es-MX" baseline="0"/>
              <a:t> - Abril"</a:t>
            </a:r>
            <a:endParaRPr lang="es-MX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'Asistencia '!$B$12</c:f>
              <c:strCache>
                <c:ptCount val="1"/>
                <c:pt idx="0">
                  <c:v>Jose Angel Gomez Lopez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'!$Z$7:$AW$8</c:f>
              <c:multiLvlStrCache>
                <c:ptCount val="12"/>
                <c:lvl>
                  <c:pt idx="0">
                    <c:v>Martes                4</c:v>
                  </c:pt>
                  <c:pt idx="1">
                    <c:v>Jueves              6</c:v>
                  </c:pt>
                  <c:pt idx="2">
                    <c:v>Viernes                7</c:v>
                  </c:pt>
                  <c:pt idx="3">
                    <c:v>Martes          11</c:v>
                  </c:pt>
                  <c:pt idx="4">
                    <c:v>Jueves            13</c:v>
                  </c:pt>
                  <c:pt idx="5">
                    <c:v>Viernes             14</c:v>
                  </c:pt>
                  <c:pt idx="6">
                    <c:v>Martes              18</c:v>
                  </c:pt>
                  <c:pt idx="7">
                    <c:v>Jueves           20</c:v>
                  </c:pt>
                  <c:pt idx="8">
                    <c:v>Viernes          21</c:v>
                  </c:pt>
                  <c:pt idx="9">
                    <c:v>Martes              25</c:v>
                  </c:pt>
                  <c:pt idx="10">
                    <c:v>Jueves               27</c:v>
                  </c:pt>
                  <c:pt idx="11">
                    <c:v>Viernes         28</c:v>
                  </c:pt>
                </c:lvl>
                <c:lvl>
                  <c:pt idx="0">
                    <c:v>ABRIL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'!$C$12:$AW$12</c15:sqref>
                  </c15:fullRef>
                </c:ext>
              </c:extLst>
              <c:f>'Asistencia '!$Z$12:$AK$12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AF-4C55-9658-0728712EB813}"/>
            </c:ext>
          </c:extLst>
        </c:ser>
        <c:ser>
          <c:idx val="4"/>
          <c:order val="4"/>
          <c:tx>
            <c:strRef>
              <c:f>'Asistencia '!$B$13</c:f>
              <c:strCache>
                <c:ptCount val="1"/>
                <c:pt idx="0">
                  <c:v>Mario Alberto Eulogio Gomez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'!$Z$7:$AW$8</c:f>
              <c:multiLvlStrCache>
                <c:ptCount val="12"/>
                <c:lvl>
                  <c:pt idx="0">
                    <c:v>Martes                4</c:v>
                  </c:pt>
                  <c:pt idx="1">
                    <c:v>Jueves              6</c:v>
                  </c:pt>
                  <c:pt idx="2">
                    <c:v>Viernes                7</c:v>
                  </c:pt>
                  <c:pt idx="3">
                    <c:v>Martes          11</c:v>
                  </c:pt>
                  <c:pt idx="4">
                    <c:v>Jueves            13</c:v>
                  </c:pt>
                  <c:pt idx="5">
                    <c:v>Viernes             14</c:v>
                  </c:pt>
                  <c:pt idx="6">
                    <c:v>Martes              18</c:v>
                  </c:pt>
                  <c:pt idx="7">
                    <c:v>Jueves           20</c:v>
                  </c:pt>
                  <c:pt idx="8">
                    <c:v>Viernes          21</c:v>
                  </c:pt>
                  <c:pt idx="9">
                    <c:v>Martes              25</c:v>
                  </c:pt>
                  <c:pt idx="10">
                    <c:v>Jueves               27</c:v>
                  </c:pt>
                  <c:pt idx="11">
                    <c:v>Viernes         28</c:v>
                  </c:pt>
                </c:lvl>
                <c:lvl>
                  <c:pt idx="0">
                    <c:v>ABRIL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'!$C$13:$AW$13</c15:sqref>
                  </c15:fullRef>
                </c:ext>
              </c:extLst>
              <c:f>'Asistencia '!$Z$13:$AK$13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AF-4C55-9658-0728712EB813}"/>
            </c:ext>
          </c:extLst>
        </c:ser>
        <c:ser>
          <c:idx val="5"/>
          <c:order val="5"/>
          <c:tx>
            <c:strRef>
              <c:f>'Asistencia '!$B$14</c:f>
              <c:strCache>
                <c:ptCount val="1"/>
                <c:pt idx="0">
                  <c:v>Josue Isaac Moreno Lopez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'!$Z$7:$AW$8</c:f>
              <c:multiLvlStrCache>
                <c:ptCount val="12"/>
                <c:lvl>
                  <c:pt idx="0">
                    <c:v>Martes                4</c:v>
                  </c:pt>
                  <c:pt idx="1">
                    <c:v>Jueves              6</c:v>
                  </c:pt>
                  <c:pt idx="2">
                    <c:v>Viernes                7</c:v>
                  </c:pt>
                  <c:pt idx="3">
                    <c:v>Martes          11</c:v>
                  </c:pt>
                  <c:pt idx="4">
                    <c:v>Jueves            13</c:v>
                  </c:pt>
                  <c:pt idx="5">
                    <c:v>Viernes             14</c:v>
                  </c:pt>
                  <c:pt idx="6">
                    <c:v>Martes              18</c:v>
                  </c:pt>
                  <c:pt idx="7">
                    <c:v>Jueves           20</c:v>
                  </c:pt>
                  <c:pt idx="8">
                    <c:v>Viernes          21</c:v>
                  </c:pt>
                  <c:pt idx="9">
                    <c:v>Martes              25</c:v>
                  </c:pt>
                  <c:pt idx="10">
                    <c:v>Jueves               27</c:v>
                  </c:pt>
                  <c:pt idx="11">
                    <c:v>Viernes         28</c:v>
                  </c:pt>
                </c:lvl>
                <c:lvl>
                  <c:pt idx="0">
                    <c:v>ABRIL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'!$C$14:$AW$14</c15:sqref>
                  </c15:fullRef>
                </c:ext>
              </c:extLst>
              <c:f>'Asistencia '!$Z$14:$AK$14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AF-4C55-9658-0728712EB813}"/>
            </c:ext>
          </c:extLst>
        </c:ser>
        <c:ser>
          <c:idx val="6"/>
          <c:order val="6"/>
          <c:tx>
            <c:strRef>
              <c:f>'Asistencia '!$B$15</c:f>
              <c:strCache>
                <c:ptCount val="1"/>
                <c:pt idx="0">
                  <c:v>Francisco Oropeza Camacho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'!$Z$7:$AW$8</c:f>
              <c:multiLvlStrCache>
                <c:ptCount val="12"/>
                <c:lvl>
                  <c:pt idx="0">
                    <c:v>Martes                4</c:v>
                  </c:pt>
                  <c:pt idx="1">
                    <c:v>Jueves              6</c:v>
                  </c:pt>
                  <c:pt idx="2">
                    <c:v>Viernes                7</c:v>
                  </c:pt>
                  <c:pt idx="3">
                    <c:v>Martes          11</c:v>
                  </c:pt>
                  <c:pt idx="4">
                    <c:v>Jueves            13</c:v>
                  </c:pt>
                  <c:pt idx="5">
                    <c:v>Viernes             14</c:v>
                  </c:pt>
                  <c:pt idx="6">
                    <c:v>Martes              18</c:v>
                  </c:pt>
                  <c:pt idx="7">
                    <c:v>Jueves           20</c:v>
                  </c:pt>
                  <c:pt idx="8">
                    <c:v>Viernes          21</c:v>
                  </c:pt>
                  <c:pt idx="9">
                    <c:v>Martes              25</c:v>
                  </c:pt>
                  <c:pt idx="10">
                    <c:v>Jueves               27</c:v>
                  </c:pt>
                  <c:pt idx="11">
                    <c:v>Viernes         28</c:v>
                  </c:pt>
                </c:lvl>
                <c:lvl>
                  <c:pt idx="0">
                    <c:v>ABRIL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'!$C$15:$AW$15</c15:sqref>
                  </c15:fullRef>
                </c:ext>
              </c:extLst>
              <c:f>'Asistencia '!$Z$15:$AK$15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AF-4C55-9658-0728712EB813}"/>
            </c:ext>
          </c:extLst>
        </c:ser>
        <c:ser>
          <c:idx val="7"/>
          <c:order val="7"/>
          <c:tx>
            <c:strRef>
              <c:f>'Asistencia '!$B$16</c:f>
              <c:strCache>
                <c:ptCount val="1"/>
                <c:pt idx="0">
                  <c:v>Abraham de Jesus Pale Moshan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'!$Z$7:$AW$8</c:f>
              <c:multiLvlStrCache>
                <c:ptCount val="12"/>
                <c:lvl>
                  <c:pt idx="0">
                    <c:v>Martes                4</c:v>
                  </c:pt>
                  <c:pt idx="1">
                    <c:v>Jueves              6</c:v>
                  </c:pt>
                  <c:pt idx="2">
                    <c:v>Viernes                7</c:v>
                  </c:pt>
                  <c:pt idx="3">
                    <c:v>Martes          11</c:v>
                  </c:pt>
                  <c:pt idx="4">
                    <c:v>Jueves            13</c:v>
                  </c:pt>
                  <c:pt idx="5">
                    <c:v>Viernes             14</c:v>
                  </c:pt>
                  <c:pt idx="6">
                    <c:v>Martes              18</c:v>
                  </c:pt>
                  <c:pt idx="7">
                    <c:v>Jueves           20</c:v>
                  </c:pt>
                  <c:pt idx="8">
                    <c:v>Viernes          21</c:v>
                  </c:pt>
                  <c:pt idx="9">
                    <c:v>Martes              25</c:v>
                  </c:pt>
                  <c:pt idx="10">
                    <c:v>Jueves               27</c:v>
                  </c:pt>
                  <c:pt idx="11">
                    <c:v>Viernes         28</c:v>
                  </c:pt>
                </c:lvl>
                <c:lvl>
                  <c:pt idx="0">
                    <c:v>ABRIL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'!$C$16:$AW$16</c15:sqref>
                  </c15:fullRef>
                </c:ext>
              </c:extLst>
              <c:f>'Asistencia '!$Z$16:$AK$16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AF-4C55-9658-0728712EB813}"/>
            </c:ext>
          </c:extLst>
        </c:ser>
        <c:ser>
          <c:idx val="8"/>
          <c:order val="8"/>
          <c:tx>
            <c:strRef>
              <c:f>'Asistencia '!$B$17</c:f>
              <c:strCache>
                <c:ptCount val="1"/>
                <c:pt idx="0">
                  <c:v>Miguel Angel Perez Hernandez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'!$Z$7:$AW$8</c:f>
              <c:multiLvlStrCache>
                <c:ptCount val="12"/>
                <c:lvl>
                  <c:pt idx="0">
                    <c:v>Martes                4</c:v>
                  </c:pt>
                  <c:pt idx="1">
                    <c:v>Jueves              6</c:v>
                  </c:pt>
                  <c:pt idx="2">
                    <c:v>Viernes                7</c:v>
                  </c:pt>
                  <c:pt idx="3">
                    <c:v>Martes          11</c:v>
                  </c:pt>
                  <c:pt idx="4">
                    <c:v>Jueves            13</c:v>
                  </c:pt>
                  <c:pt idx="5">
                    <c:v>Viernes             14</c:v>
                  </c:pt>
                  <c:pt idx="6">
                    <c:v>Martes              18</c:v>
                  </c:pt>
                  <c:pt idx="7">
                    <c:v>Jueves           20</c:v>
                  </c:pt>
                  <c:pt idx="8">
                    <c:v>Viernes          21</c:v>
                  </c:pt>
                  <c:pt idx="9">
                    <c:v>Martes              25</c:v>
                  </c:pt>
                  <c:pt idx="10">
                    <c:v>Jueves               27</c:v>
                  </c:pt>
                  <c:pt idx="11">
                    <c:v>Viernes         28</c:v>
                  </c:pt>
                </c:lvl>
                <c:lvl>
                  <c:pt idx="0">
                    <c:v>ABRIL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'!$C$17:$AW$17</c15:sqref>
                  </c15:fullRef>
                </c:ext>
              </c:extLst>
              <c:f>'Asistencia '!$Z$17:$AK$17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AF-4C55-9658-0728712EB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4191088"/>
        <c:axId val="30418952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'Asistencia '!$B$9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'!$Z$7:$AW$8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Martes                4</c:v>
                        </c:pt>
                        <c:pt idx="1">
                          <c:v>Jueves              6</c:v>
                        </c:pt>
                        <c:pt idx="2">
                          <c:v>Viernes                7</c:v>
                        </c:pt>
                        <c:pt idx="3">
                          <c:v>Martes          11</c:v>
                        </c:pt>
                        <c:pt idx="4">
                          <c:v>Jueves            13</c:v>
                        </c:pt>
                        <c:pt idx="5">
                          <c:v>Viernes             14</c:v>
                        </c:pt>
                        <c:pt idx="6">
                          <c:v>Martes              18</c:v>
                        </c:pt>
                        <c:pt idx="7">
                          <c:v>Jueves           20</c:v>
                        </c:pt>
                        <c:pt idx="8">
                          <c:v>Viernes          21</c:v>
                        </c:pt>
                        <c:pt idx="9">
                          <c:v>Martes              25</c:v>
                        </c:pt>
                        <c:pt idx="10">
                          <c:v>Jueves               27</c:v>
                        </c:pt>
                        <c:pt idx="11">
                          <c:v>Viernes         28</c:v>
                        </c:pt>
                      </c:lvl>
                      <c:lvl>
                        <c:pt idx="0">
                          <c:v>ABRIL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'Asistencia '!$C$9:$AW$9</c15:sqref>
                        </c15:fullRef>
                        <c15:formulaRef>
                          <c15:sqref>'Asistencia '!$Z$9:$AK$9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D8AF-4C55-9658-0728712EB81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'!$Z$7:$AW$8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Martes                4</c:v>
                        </c:pt>
                        <c:pt idx="1">
                          <c:v>Jueves              6</c:v>
                        </c:pt>
                        <c:pt idx="2">
                          <c:v>Viernes                7</c:v>
                        </c:pt>
                        <c:pt idx="3">
                          <c:v>Martes          11</c:v>
                        </c:pt>
                        <c:pt idx="4">
                          <c:v>Jueves            13</c:v>
                        </c:pt>
                        <c:pt idx="5">
                          <c:v>Viernes             14</c:v>
                        </c:pt>
                        <c:pt idx="6">
                          <c:v>Martes              18</c:v>
                        </c:pt>
                        <c:pt idx="7">
                          <c:v>Jueves           20</c:v>
                        </c:pt>
                        <c:pt idx="8">
                          <c:v>Viernes          21</c:v>
                        </c:pt>
                        <c:pt idx="9">
                          <c:v>Martes              25</c:v>
                        </c:pt>
                        <c:pt idx="10">
                          <c:v>Jueves               27</c:v>
                        </c:pt>
                        <c:pt idx="11">
                          <c:v>Viernes         28</c:v>
                        </c:pt>
                      </c:lvl>
                      <c:lvl>
                        <c:pt idx="0">
                          <c:v>ABRIL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'!$C$10:$AW$10</c15:sqref>
                        </c15:fullRef>
                        <c15:formulaRef>
                          <c15:sqref>'Asistencia '!$Z$10:$AK$10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8AF-4C55-9658-0728712EB81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'!$Z$7:$AW$8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Martes                4</c:v>
                        </c:pt>
                        <c:pt idx="1">
                          <c:v>Jueves              6</c:v>
                        </c:pt>
                        <c:pt idx="2">
                          <c:v>Viernes                7</c:v>
                        </c:pt>
                        <c:pt idx="3">
                          <c:v>Martes          11</c:v>
                        </c:pt>
                        <c:pt idx="4">
                          <c:v>Jueves            13</c:v>
                        </c:pt>
                        <c:pt idx="5">
                          <c:v>Viernes             14</c:v>
                        </c:pt>
                        <c:pt idx="6">
                          <c:v>Martes              18</c:v>
                        </c:pt>
                        <c:pt idx="7">
                          <c:v>Jueves           20</c:v>
                        </c:pt>
                        <c:pt idx="8">
                          <c:v>Viernes          21</c:v>
                        </c:pt>
                        <c:pt idx="9">
                          <c:v>Martes              25</c:v>
                        </c:pt>
                        <c:pt idx="10">
                          <c:v>Jueves               27</c:v>
                        </c:pt>
                        <c:pt idx="11">
                          <c:v>Viernes         28</c:v>
                        </c:pt>
                      </c:lvl>
                      <c:lvl>
                        <c:pt idx="0">
                          <c:v>ABRIL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'!$C$11:$AW$11</c15:sqref>
                        </c15:fullRef>
                        <c15:formulaRef>
                          <c15:sqref>'Asistencia '!$Z$11:$AK$11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8AF-4C55-9658-0728712EB813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'!$B$18</c15:sqref>
                        </c15:formulaRef>
                      </c:ext>
                    </c:extLst>
                    <c:strCache>
                      <c:ptCount val="1"/>
                      <c:pt idx="0">
                        <c:v>Total de participacion diaria 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'!$Z$7:$AW$8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Martes                4</c:v>
                        </c:pt>
                        <c:pt idx="1">
                          <c:v>Jueves              6</c:v>
                        </c:pt>
                        <c:pt idx="2">
                          <c:v>Viernes                7</c:v>
                        </c:pt>
                        <c:pt idx="3">
                          <c:v>Martes          11</c:v>
                        </c:pt>
                        <c:pt idx="4">
                          <c:v>Jueves            13</c:v>
                        </c:pt>
                        <c:pt idx="5">
                          <c:v>Viernes             14</c:v>
                        </c:pt>
                        <c:pt idx="6">
                          <c:v>Martes              18</c:v>
                        </c:pt>
                        <c:pt idx="7">
                          <c:v>Jueves           20</c:v>
                        </c:pt>
                        <c:pt idx="8">
                          <c:v>Viernes          21</c:v>
                        </c:pt>
                        <c:pt idx="9">
                          <c:v>Martes              25</c:v>
                        </c:pt>
                        <c:pt idx="10">
                          <c:v>Jueves               27</c:v>
                        </c:pt>
                        <c:pt idx="11">
                          <c:v>Viernes         28</c:v>
                        </c:pt>
                      </c:lvl>
                      <c:lvl>
                        <c:pt idx="0">
                          <c:v>ABRIL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'!$C$18:$AW$18</c15:sqref>
                        </c15:fullRef>
                        <c15:formulaRef>
                          <c15:sqref>'Asistencia '!$Z$18:$AK$18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6</c:v>
                      </c:pt>
                      <c:pt idx="7">
                        <c:v>6</c:v>
                      </c:pt>
                      <c:pt idx="8">
                        <c:v>6</c:v>
                      </c:pt>
                      <c:pt idx="9">
                        <c:v>6</c:v>
                      </c:pt>
                      <c:pt idx="10">
                        <c:v>6</c:v>
                      </c:pt>
                      <c:pt idx="11">
                        <c:v>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8AF-4C55-9658-0728712EB813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'!$Z$7:$AW$8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Martes                4</c:v>
                        </c:pt>
                        <c:pt idx="1">
                          <c:v>Jueves              6</c:v>
                        </c:pt>
                        <c:pt idx="2">
                          <c:v>Viernes                7</c:v>
                        </c:pt>
                        <c:pt idx="3">
                          <c:v>Martes          11</c:v>
                        </c:pt>
                        <c:pt idx="4">
                          <c:v>Jueves            13</c:v>
                        </c:pt>
                        <c:pt idx="5">
                          <c:v>Viernes             14</c:v>
                        </c:pt>
                        <c:pt idx="6">
                          <c:v>Martes              18</c:v>
                        </c:pt>
                        <c:pt idx="7">
                          <c:v>Jueves           20</c:v>
                        </c:pt>
                        <c:pt idx="8">
                          <c:v>Viernes          21</c:v>
                        </c:pt>
                        <c:pt idx="9">
                          <c:v>Martes              25</c:v>
                        </c:pt>
                        <c:pt idx="10">
                          <c:v>Jueves               27</c:v>
                        </c:pt>
                        <c:pt idx="11">
                          <c:v>Viernes         28</c:v>
                        </c:pt>
                      </c:lvl>
                      <c:lvl>
                        <c:pt idx="0">
                          <c:v>ABRIL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'!$C$19:$AW$19</c15:sqref>
                        </c15:fullRef>
                        <c15:formulaRef>
                          <c15:sqref>'Asistencia '!$Z$19:$AK$19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8AF-4C55-9658-0728712EB813}"/>
                  </c:ext>
                </c:extLst>
              </c15:ser>
            </c15:filteredBarSeries>
          </c:ext>
        </c:extLst>
      </c:barChart>
      <c:catAx>
        <c:axId val="30419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Colaboradores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4189520"/>
        <c:crosses val="autoZero"/>
        <c:auto val="1"/>
        <c:lblAlgn val="ctr"/>
        <c:lblOffset val="100"/>
        <c:noMultiLvlLbl val="0"/>
      </c:catAx>
      <c:valAx>
        <c:axId val="3041895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ASISTIÓ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crossAx val="30419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Gráfica 5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"Asistencia</a:t>
            </a:r>
            <a:r>
              <a:rPr lang="es-MX" baseline="0"/>
              <a:t> - Mayo"</a:t>
            </a:r>
            <a:endParaRPr lang="es-MX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'Asistencia '!$B$12</c:f>
              <c:strCache>
                <c:ptCount val="1"/>
                <c:pt idx="0">
                  <c:v>Jose Angel Gomez Lopez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'!$AL$7:$AW$8</c:f>
              <c:multiLvlStrCache>
                <c:ptCount val="12"/>
                <c:lvl>
                  <c:pt idx="0">
                    <c:v>Martes              2</c:v>
                  </c:pt>
                  <c:pt idx="1">
                    <c:v>Jueves               4</c:v>
                  </c:pt>
                  <c:pt idx="2">
                    <c:v>Viernes              5</c:v>
                  </c:pt>
                  <c:pt idx="3">
                    <c:v>Martes            9</c:v>
                  </c:pt>
                  <c:pt idx="4">
                    <c:v>Jueves      11</c:v>
                  </c:pt>
                  <c:pt idx="5">
                    <c:v>Viernes      12</c:v>
                  </c:pt>
                  <c:pt idx="6">
                    <c:v>Martes          16</c:v>
                  </c:pt>
                  <c:pt idx="7">
                    <c:v>Jueves             18</c:v>
                  </c:pt>
                  <c:pt idx="8">
                    <c:v>Viernes      19</c:v>
                  </c:pt>
                  <c:pt idx="9">
                    <c:v>Martes      23</c:v>
                  </c:pt>
                  <c:pt idx="10">
                    <c:v>Jueves      25</c:v>
                  </c:pt>
                  <c:pt idx="11">
                    <c:v>Viernes     26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'!$C$12:$AW$12</c15:sqref>
                  </c15:fullRef>
                </c:ext>
              </c:extLst>
              <c:f>'Asistencia '!$AL$12:$AW$12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6-4A59-9C9A-689D0E7E00B7}"/>
            </c:ext>
          </c:extLst>
        </c:ser>
        <c:ser>
          <c:idx val="4"/>
          <c:order val="4"/>
          <c:tx>
            <c:strRef>
              <c:f>'Asistencia '!$B$13</c:f>
              <c:strCache>
                <c:ptCount val="1"/>
                <c:pt idx="0">
                  <c:v>Mario Alberto Eulogio Gomez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'!$AL$7:$AW$8</c:f>
              <c:multiLvlStrCache>
                <c:ptCount val="12"/>
                <c:lvl>
                  <c:pt idx="0">
                    <c:v>Martes              2</c:v>
                  </c:pt>
                  <c:pt idx="1">
                    <c:v>Jueves               4</c:v>
                  </c:pt>
                  <c:pt idx="2">
                    <c:v>Viernes              5</c:v>
                  </c:pt>
                  <c:pt idx="3">
                    <c:v>Martes            9</c:v>
                  </c:pt>
                  <c:pt idx="4">
                    <c:v>Jueves      11</c:v>
                  </c:pt>
                  <c:pt idx="5">
                    <c:v>Viernes      12</c:v>
                  </c:pt>
                  <c:pt idx="6">
                    <c:v>Martes          16</c:v>
                  </c:pt>
                  <c:pt idx="7">
                    <c:v>Jueves             18</c:v>
                  </c:pt>
                  <c:pt idx="8">
                    <c:v>Viernes      19</c:v>
                  </c:pt>
                  <c:pt idx="9">
                    <c:v>Martes      23</c:v>
                  </c:pt>
                  <c:pt idx="10">
                    <c:v>Jueves      25</c:v>
                  </c:pt>
                  <c:pt idx="11">
                    <c:v>Viernes     26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'!$C$13:$AW$13</c15:sqref>
                  </c15:fullRef>
                </c:ext>
              </c:extLst>
              <c:f>'Asistencia '!$AL$13:$AW$13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F6-4A59-9C9A-689D0E7E00B7}"/>
            </c:ext>
          </c:extLst>
        </c:ser>
        <c:ser>
          <c:idx val="5"/>
          <c:order val="5"/>
          <c:tx>
            <c:strRef>
              <c:f>'Asistencia '!$B$14</c:f>
              <c:strCache>
                <c:ptCount val="1"/>
                <c:pt idx="0">
                  <c:v>Josue Isaac Moreno Lopez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'!$AL$7:$AW$8</c:f>
              <c:multiLvlStrCache>
                <c:ptCount val="12"/>
                <c:lvl>
                  <c:pt idx="0">
                    <c:v>Martes              2</c:v>
                  </c:pt>
                  <c:pt idx="1">
                    <c:v>Jueves               4</c:v>
                  </c:pt>
                  <c:pt idx="2">
                    <c:v>Viernes              5</c:v>
                  </c:pt>
                  <c:pt idx="3">
                    <c:v>Martes            9</c:v>
                  </c:pt>
                  <c:pt idx="4">
                    <c:v>Jueves      11</c:v>
                  </c:pt>
                  <c:pt idx="5">
                    <c:v>Viernes      12</c:v>
                  </c:pt>
                  <c:pt idx="6">
                    <c:v>Martes          16</c:v>
                  </c:pt>
                  <c:pt idx="7">
                    <c:v>Jueves             18</c:v>
                  </c:pt>
                  <c:pt idx="8">
                    <c:v>Viernes      19</c:v>
                  </c:pt>
                  <c:pt idx="9">
                    <c:v>Martes      23</c:v>
                  </c:pt>
                  <c:pt idx="10">
                    <c:v>Jueves      25</c:v>
                  </c:pt>
                  <c:pt idx="11">
                    <c:v>Viernes     26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'!$C$14:$AW$14</c15:sqref>
                  </c15:fullRef>
                </c:ext>
              </c:extLst>
              <c:f>'Asistencia '!$AL$14:$AW$14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F6-4A59-9C9A-689D0E7E00B7}"/>
            </c:ext>
          </c:extLst>
        </c:ser>
        <c:ser>
          <c:idx val="6"/>
          <c:order val="6"/>
          <c:tx>
            <c:strRef>
              <c:f>'Asistencia '!$B$15</c:f>
              <c:strCache>
                <c:ptCount val="1"/>
                <c:pt idx="0">
                  <c:v>Francisco Oropeza Camacho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'!$AL$7:$AW$8</c:f>
              <c:multiLvlStrCache>
                <c:ptCount val="12"/>
                <c:lvl>
                  <c:pt idx="0">
                    <c:v>Martes              2</c:v>
                  </c:pt>
                  <c:pt idx="1">
                    <c:v>Jueves               4</c:v>
                  </c:pt>
                  <c:pt idx="2">
                    <c:v>Viernes              5</c:v>
                  </c:pt>
                  <c:pt idx="3">
                    <c:v>Martes            9</c:v>
                  </c:pt>
                  <c:pt idx="4">
                    <c:v>Jueves      11</c:v>
                  </c:pt>
                  <c:pt idx="5">
                    <c:v>Viernes      12</c:v>
                  </c:pt>
                  <c:pt idx="6">
                    <c:v>Martes          16</c:v>
                  </c:pt>
                  <c:pt idx="7">
                    <c:v>Jueves             18</c:v>
                  </c:pt>
                  <c:pt idx="8">
                    <c:v>Viernes      19</c:v>
                  </c:pt>
                  <c:pt idx="9">
                    <c:v>Martes      23</c:v>
                  </c:pt>
                  <c:pt idx="10">
                    <c:v>Jueves      25</c:v>
                  </c:pt>
                  <c:pt idx="11">
                    <c:v>Viernes     26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'!$C$15:$AW$15</c15:sqref>
                  </c15:fullRef>
                </c:ext>
              </c:extLst>
              <c:f>'Asistencia '!$AL$15:$AW$15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F6-4A59-9C9A-689D0E7E00B7}"/>
            </c:ext>
          </c:extLst>
        </c:ser>
        <c:ser>
          <c:idx val="7"/>
          <c:order val="7"/>
          <c:tx>
            <c:strRef>
              <c:f>'Asistencia '!$B$16</c:f>
              <c:strCache>
                <c:ptCount val="1"/>
                <c:pt idx="0">
                  <c:v>Abraham de Jesus Pale Moshan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'!$AL$7:$AW$8</c:f>
              <c:multiLvlStrCache>
                <c:ptCount val="12"/>
                <c:lvl>
                  <c:pt idx="0">
                    <c:v>Martes              2</c:v>
                  </c:pt>
                  <c:pt idx="1">
                    <c:v>Jueves               4</c:v>
                  </c:pt>
                  <c:pt idx="2">
                    <c:v>Viernes              5</c:v>
                  </c:pt>
                  <c:pt idx="3">
                    <c:v>Martes            9</c:v>
                  </c:pt>
                  <c:pt idx="4">
                    <c:v>Jueves      11</c:v>
                  </c:pt>
                  <c:pt idx="5">
                    <c:v>Viernes      12</c:v>
                  </c:pt>
                  <c:pt idx="6">
                    <c:v>Martes          16</c:v>
                  </c:pt>
                  <c:pt idx="7">
                    <c:v>Jueves             18</c:v>
                  </c:pt>
                  <c:pt idx="8">
                    <c:v>Viernes      19</c:v>
                  </c:pt>
                  <c:pt idx="9">
                    <c:v>Martes      23</c:v>
                  </c:pt>
                  <c:pt idx="10">
                    <c:v>Jueves      25</c:v>
                  </c:pt>
                  <c:pt idx="11">
                    <c:v>Viernes     26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'!$C$16:$AW$16</c15:sqref>
                  </c15:fullRef>
                </c:ext>
              </c:extLst>
              <c:f>'Asistencia '!$AL$16:$AW$16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F6-4A59-9C9A-689D0E7E00B7}"/>
            </c:ext>
          </c:extLst>
        </c:ser>
        <c:ser>
          <c:idx val="8"/>
          <c:order val="8"/>
          <c:tx>
            <c:strRef>
              <c:f>'Asistencia '!$B$17</c:f>
              <c:strCache>
                <c:ptCount val="1"/>
                <c:pt idx="0">
                  <c:v>Miguel Angel Perez Hernandez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'Asistencia '!$C$7:$AW$8</c15:sqref>
                  </c15:fullRef>
                </c:ext>
              </c:extLst>
              <c:f>'Asistencia '!$AL$7:$AW$8</c:f>
              <c:multiLvlStrCache>
                <c:ptCount val="12"/>
                <c:lvl>
                  <c:pt idx="0">
                    <c:v>Martes              2</c:v>
                  </c:pt>
                  <c:pt idx="1">
                    <c:v>Jueves               4</c:v>
                  </c:pt>
                  <c:pt idx="2">
                    <c:v>Viernes              5</c:v>
                  </c:pt>
                  <c:pt idx="3">
                    <c:v>Martes            9</c:v>
                  </c:pt>
                  <c:pt idx="4">
                    <c:v>Jueves      11</c:v>
                  </c:pt>
                  <c:pt idx="5">
                    <c:v>Viernes      12</c:v>
                  </c:pt>
                  <c:pt idx="6">
                    <c:v>Martes          16</c:v>
                  </c:pt>
                  <c:pt idx="7">
                    <c:v>Jueves             18</c:v>
                  </c:pt>
                  <c:pt idx="8">
                    <c:v>Viernes      19</c:v>
                  </c:pt>
                  <c:pt idx="9">
                    <c:v>Martes      23</c:v>
                  </c:pt>
                  <c:pt idx="10">
                    <c:v>Jueves      25</c:v>
                  </c:pt>
                  <c:pt idx="11">
                    <c:v>Viernes     26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'Asistencia '!$C$17:$AW$17</c15:sqref>
                  </c15:fullRef>
                </c:ext>
              </c:extLst>
              <c:f>'Asistencia '!$AL$17:$AW$17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F6-4A59-9C9A-689D0E7E0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1747208"/>
        <c:axId val="4617464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'Asistencia '!$B$9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'!$AL$7:$AW$8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Martes              2</c:v>
                        </c:pt>
                        <c:pt idx="1">
                          <c:v>Jueves               4</c:v>
                        </c:pt>
                        <c:pt idx="2">
                          <c:v>Viernes              5</c:v>
                        </c:pt>
                        <c:pt idx="3">
                          <c:v>Martes            9</c:v>
                        </c:pt>
                        <c:pt idx="4">
                          <c:v>Jueves      11</c:v>
                        </c:pt>
                        <c:pt idx="5">
                          <c:v>Viernes      12</c:v>
                        </c:pt>
                        <c:pt idx="6">
                          <c:v>Martes          16</c:v>
                        </c:pt>
                        <c:pt idx="7">
                          <c:v>Jueves             18</c:v>
                        </c:pt>
                        <c:pt idx="8">
                          <c:v>Viernes      19</c:v>
                        </c:pt>
                        <c:pt idx="9">
                          <c:v>Martes      23</c:v>
                        </c:pt>
                        <c:pt idx="10">
                          <c:v>Jueves      25</c:v>
                        </c:pt>
                        <c:pt idx="11">
                          <c:v>Viernes     26</c:v>
                        </c:pt>
                      </c:lvl>
                      <c:lvl>
                        <c:pt idx="0">
                          <c:v>MAYO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'Asistencia '!$C$9:$AW$9</c15:sqref>
                        </c15:fullRef>
                        <c15:formulaRef>
                          <c15:sqref>'Asistencia '!$AL$9:$AW$9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5EF6-4A59-9C9A-689D0E7E00B7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'!$AL$7:$AW$8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Martes              2</c:v>
                        </c:pt>
                        <c:pt idx="1">
                          <c:v>Jueves               4</c:v>
                        </c:pt>
                        <c:pt idx="2">
                          <c:v>Viernes              5</c:v>
                        </c:pt>
                        <c:pt idx="3">
                          <c:v>Martes            9</c:v>
                        </c:pt>
                        <c:pt idx="4">
                          <c:v>Jueves      11</c:v>
                        </c:pt>
                        <c:pt idx="5">
                          <c:v>Viernes      12</c:v>
                        </c:pt>
                        <c:pt idx="6">
                          <c:v>Martes          16</c:v>
                        </c:pt>
                        <c:pt idx="7">
                          <c:v>Jueves             18</c:v>
                        </c:pt>
                        <c:pt idx="8">
                          <c:v>Viernes      19</c:v>
                        </c:pt>
                        <c:pt idx="9">
                          <c:v>Martes      23</c:v>
                        </c:pt>
                        <c:pt idx="10">
                          <c:v>Jueves      25</c:v>
                        </c:pt>
                        <c:pt idx="11">
                          <c:v>Viernes     26</c:v>
                        </c:pt>
                      </c:lvl>
                      <c:lvl>
                        <c:pt idx="0">
                          <c:v>MAYO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'!$C$10:$AW$10</c15:sqref>
                        </c15:fullRef>
                        <c15:formulaRef>
                          <c15:sqref>'Asistencia '!$AL$10:$AW$10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EF6-4A59-9C9A-689D0E7E00B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'!$AL$7:$AW$8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Martes              2</c:v>
                        </c:pt>
                        <c:pt idx="1">
                          <c:v>Jueves               4</c:v>
                        </c:pt>
                        <c:pt idx="2">
                          <c:v>Viernes              5</c:v>
                        </c:pt>
                        <c:pt idx="3">
                          <c:v>Martes            9</c:v>
                        </c:pt>
                        <c:pt idx="4">
                          <c:v>Jueves      11</c:v>
                        </c:pt>
                        <c:pt idx="5">
                          <c:v>Viernes      12</c:v>
                        </c:pt>
                        <c:pt idx="6">
                          <c:v>Martes          16</c:v>
                        </c:pt>
                        <c:pt idx="7">
                          <c:v>Jueves             18</c:v>
                        </c:pt>
                        <c:pt idx="8">
                          <c:v>Viernes      19</c:v>
                        </c:pt>
                        <c:pt idx="9">
                          <c:v>Martes      23</c:v>
                        </c:pt>
                        <c:pt idx="10">
                          <c:v>Jueves      25</c:v>
                        </c:pt>
                        <c:pt idx="11">
                          <c:v>Viernes     26</c:v>
                        </c:pt>
                      </c:lvl>
                      <c:lvl>
                        <c:pt idx="0">
                          <c:v>MAYO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'!$C$11:$AW$11</c15:sqref>
                        </c15:fullRef>
                        <c15:formulaRef>
                          <c15:sqref>'Asistencia '!$AL$11:$AW$11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EF6-4A59-9C9A-689D0E7E00B7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'!$B$18</c15:sqref>
                        </c15:formulaRef>
                      </c:ext>
                    </c:extLst>
                    <c:strCache>
                      <c:ptCount val="1"/>
                      <c:pt idx="0">
                        <c:v>Total de participacion diaria 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'!$AL$7:$AW$8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Martes              2</c:v>
                        </c:pt>
                        <c:pt idx="1">
                          <c:v>Jueves               4</c:v>
                        </c:pt>
                        <c:pt idx="2">
                          <c:v>Viernes              5</c:v>
                        </c:pt>
                        <c:pt idx="3">
                          <c:v>Martes            9</c:v>
                        </c:pt>
                        <c:pt idx="4">
                          <c:v>Jueves      11</c:v>
                        </c:pt>
                        <c:pt idx="5">
                          <c:v>Viernes      12</c:v>
                        </c:pt>
                        <c:pt idx="6">
                          <c:v>Martes          16</c:v>
                        </c:pt>
                        <c:pt idx="7">
                          <c:v>Jueves             18</c:v>
                        </c:pt>
                        <c:pt idx="8">
                          <c:v>Viernes      19</c:v>
                        </c:pt>
                        <c:pt idx="9">
                          <c:v>Martes      23</c:v>
                        </c:pt>
                        <c:pt idx="10">
                          <c:v>Jueves      25</c:v>
                        </c:pt>
                        <c:pt idx="11">
                          <c:v>Viernes     26</c:v>
                        </c:pt>
                      </c:lvl>
                      <c:lvl>
                        <c:pt idx="0">
                          <c:v>MAYO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'!$C$18:$AW$18</c15:sqref>
                        </c15:fullRef>
                        <c15:formulaRef>
                          <c15:sqref>'Asistencia '!$AL$18:$AW$18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6</c:v>
                      </c:pt>
                      <c:pt idx="1">
                        <c:v>6</c:v>
                      </c:pt>
                      <c:pt idx="2">
                        <c:v>6</c:v>
                      </c:pt>
                      <c:pt idx="3">
                        <c:v>6</c:v>
                      </c:pt>
                      <c:pt idx="4">
                        <c:v>6</c:v>
                      </c:pt>
                      <c:pt idx="5">
                        <c:v>6</c:v>
                      </c:pt>
                      <c:pt idx="6">
                        <c:v>6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F6-4A59-9C9A-689D0E7E00B7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'Asistencia '!$B$19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'Asistencia '!$C$7:$AW$8</c15:sqref>
                        </c15:fullRef>
                        <c15:formulaRef>
                          <c15:sqref>'Asistencia '!$AL$7:$AW$8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Martes              2</c:v>
                        </c:pt>
                        <c:pt idx="1">
                          <c:v>Jueves               4</c:v>
                        </c:pt>
                        <c:pt idx="2">
                          <c:v>Viernes              5</c:v>
                        </c:pt>
                        <c:pt idx="3">
                          <c:v>Martes            9</c:v>
                        </c:pt>
                        <c:pt idx="4">
                          <c:v>Jueves      11</c:v>
                        </c:pt>
                        <c:pt idx="5">
                          <c:v>Viernes      12</c:v>
                        </c:pt>
                        <c:pt idx="6">
                          <c:v>Martes          16</c:v>
                        </c:pt>
                        <c:pt idx="7">
                          <c:v>Jueves             18</c:v>
                        </c:pt>
                        <c:pt idx="8">
                          <c:v>Viernes      19</c:v>
                        </c:pt>
                        <c:pt idx="9">
                          <c:v>Martes      23</c:v>
                        </c:pt>
                        <c:pt idx="10">
                          <c:v>Jueves      25</c:v>
                        </c:pt>
                        <c:pt idx="11">
                          <c:v>Viernes     26</c:v>
                        </c:pt>
                      </c:lvl>
                      <c:lvl>
                        <c:pt idx="0">
                          <c:v>MAYO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'Asistencia '!$C$19:$AW$19</c15:sqref>
                        </c15:fullRef>
                        <c15:formulaRef>
                          <c15:sqref>'Asistencia '!$AL$19:$AW$19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F6-4A59-9C9A-689D0E7E00B7}"/>
                  </c:ext>
                </c:extLst>
              </c15:ser>
            </c15:filteredBarSeries>
          </c:ext>
        </c:extLst>
      </c:barChart>
      <c:catAx>
        <c:axId val="461747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Colaboradores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1746424"/>
        <c:crosses val="autoZero"/>
        <c:auto val="1"/>
        <c:lblAlgn val="ctr"/>
        <c:lblOffset val="100"/>
        <c:noMultiLvlLbl val="0"/>
      </c:catAx>
      <c:valAx>
        <c:axId val="46174642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ASISTIÓ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crossAx val="461747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Gràfica</a:t>
            </a:r>
            <a:r>
              <a:rPr lang="es-MX" baseline="0"/>
              <a:t> 6 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aseline="0"/>
              <a:t>"Calendario de actividades a realizar" </a:t>
            </a:r>
            <a:endParaRPr lang="es-MX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Tiempo!$C$16</c:f>
              <c:strCache>
                <c:ptCount val="1"/>
                <c:pt idx="0">
                  <c:v>Participantes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Tiempo!$D$8:$AS$10</c15:sqref>
                  </c15:fullRef>
                  <c15:levelRef>
                    <c15:sqref>Tiempo!$D$8:$AS$8</c15:sqref>
                  </c15:levelRef>
                </c:ext>
              </c:extLst>
              <c:f>(Tiempo!$D$8,Tiempo!$G$8,Tiempo!$J$8,Tiempo!$M$8,Tiempo!$P$8,Tiempo!$S$8,Tiempo!$V$8,Tiempo!$Y$8,Tiempo!$AB$8,Tiempo!$AE$8,Tiempo!$AH$8,Tiempo!$AK$8,Tiempo!$AN$8,Tiempo!$AQ$8)</c:f>
              <c:strCache>
                <c:ptCount val="14"/>
                <c:pt idx="0">
                  <c:v>Semana 1:                                                                           14 de febrero al 17 de febrero </c:v>
                </c:pt>
                <c:pt idx="1">
                  <c:v>Semana 2:                                                             21 de febrero al 24 de febrero </c:v>
                </c:pt>
                <c:pt idx="2">
                  <c:v>Semana 3:                                                                27 de febrero al 3 de marzo  </c:v>
                </c:pt>
                <c:pt idx="3">
                  <c:v>Semana 4:                                                                   6 de marzo al 10 de marzo </c:v>
                </c:pt>
                <c:pt idx="4">
                  <c:v>Semana 5:                                                                   13 de marzo al 17 de marzo </c:v>
                </c:pt>
                <c:pt idx="5">
                  <c:v>Semana 6:                                                                  20 de marzo al 24 de marzo </c:v>
                </c:pt>
                <c:pt idx="6">
                  <c:v>Semana 7:                                                       27 de febrero al 31 de febrero </c:v>
                </c:pt>
                <c:pt idx="7">
                  <c:v>Semana 8:                                                        3 de abril al 7 de abril  </c:v>
                </c:pt>
                <c:pt idx="8">
                  <c:v>Semana 9:                                                      10 de abril al 14 de abril  </c:v>
                </c:pt>
                <c:pt idx="9">
                  <c:v>Semana 10:                                                          17 de abril al 21 de abril  </c:v>
                </c:pt>
                <c:pt idx="10">
                  <c:v>Semana 11:                                                                       24 de abril al 28 de abril  </c:v>
                </c:pt>
                <c:pt idx="11">
                  <c:v>Semana 12:                                                                        1 de mayo al 5 de mayo </c:v>
                </c:pt>
                <c:pt idx="12">
                  <c:v>Semana 13:                                                                        8 de mayo al 12 de mayo </c:v>
                </c:pt>
                <c:pt idx="13">
                  <c:v>Semana 14:                                                                        15 de mayo al 19 de mayo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Tiempo!$D$16:$AS$16</c15:sqref>
                  </c15:fullRef>
                </c:ext>
              </c:extLst>
              <c:f>(Tiempo!$D$16,Tiempo!$G$16,Tiempo!$J$16,Tiempo!$M$16,Tiempo!$P$16,Tiempo!$S$16,Tiempo!$V$16,Tiempo!$Y$16,Tiempo!$AB$16,Tiempo!$AE$16,Tiempo!$AH$16,Tiempo!$AK$16,Tiempo!$AN$16,Tiempo!$AQ$16)</c:f>
              <c:numCache>
                <c:formatCode>General</c:formatCode>
                <c:ptCount val="14"/>
                <c:pt idx="2">
                  <c:v>6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3-4161-9730-473D72C7B9D3}"/>
            </c:ext>
          </c:extLst>
        </c:ser>
        <c:ser>
          <c:idx val="6"/>
          <c:order val="6"/>
          <c:tx>
            <c:strRef>
              <c:f>Tiempo!$C$17</c:f>
              <c:strCache>
                <c:ptCount val="1"/>
                <c:pt idx="0">
                  <c:v>Tiempo x participante (mins)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Tiempo!$D$8:$AS$10</c15:sqref>
                  </c15:fullRef>
                  <c15:levelRef>
                    <c15:sqref>Tiempo!$D$8:$AS$8</c15:sqref>
                  </c15:levelRef>
                </c:ext>
              </c:extLst>
              <c:f>(Tiempo!$D$8,Tiempo!$G$8,Tiempo!$J$8,Tiempo!$M$8,Tiempo!$P$8,Tiempo!$S$8,Tiempo!$V$8,Tiempo!$Y$8,Tiempo!$AB$8,Tiempo!$AE$8,Tiempo!$AH$8,Tiempo!$AK$8,Tiempo!$AN$8,Tiempo!$AQ$8)</c:f>
              <c:strCache>
                <c:ptCount val="14"/>
                <c:pt idx="0">
                  <c:v>Semana 1:                                                                           14 de febrero al 17 de febrero </c:v>
                </c:pt>
                <c:pt idx="1">
                  <c:v>Semana 2:                                                             21 de febrero al 24 de febrero </c:v>
                </c:pt>
                <c:pt idx="2">
                  <c:v>Semana 3:                                                                27 de febrero al 3 de marzo  </c:v>
                </c:pt>
                <c:pt idx="3">
                  <c:v>Semana 4:                                                                   6 de marzo al 10 de marzo </c:v>
                </c:pt>
                <c:pt idx="4">
                  <c:v>Semana 5:                                                                   13 de marzo al 17 de marzo </c:v>
                </c:pt>
                <c:pt idx="5">
                  <c:v>Semana 6:                                                                  20 de marzo al 24 de marzo </c:v>
                </c:pt>
                <c:pt idx="6">
                  <c:v>Semana 7:                                                       27 de febrero al 31 de febrero </c:v>
                </c:pt>
                <c:pt idx="7">
                  <c:v>Semana 8:                                                        3 de abril al 7 de abril  </c:v>
                </c:pt>
                <c:pt idx="8">
                  <c:v>Semana 9:                                                      10 de abril al 14 de abril  </c:v>
                </c:pt>
                <c:pt idx="9">
                  <c:v>Semana 10:                                                          17 de abril al 21 de abril  </c:v>
                </c:pt>
                <c:pt idx="10">
                  <c:v>Semana 11:                                                                       24 de abril al 28 de abril  </c:v>
                </c:pt>
                <c:pt idx="11">
                  <c:v>Semana 12:                                                                        1 de mayo al 5 de mayo </c:v>
                </c:pt>
                <c:pt idx="12">
                  <c:v>Semana 13:                                                                        8 de mayo al 12 de mayo </c:v>
                </c:pt>
                <c:pt idx="13">
                  <c:v>Semana 14:                                                                        15 de mayo al 19 de mayo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Tiempo!$D$17:$AS$17</c15:sqref>
                  </c15:fullRef>
                </c:ext>
              </c:extLst>
              <c:f>(Tiempo!$D$17,Tiempo!$G$17,Tiempo!$J$17,Tiempo!$M$17,Tiempo!$P$17,Tiempo!$S$17,Tiempo!$V$17,Tiempo!$Y$17,Tiempo!$AB$17,Tiempo!$AE$17,Tiempo!$AH$17,Tiempo!$AK$17,Tiempo!$AN$17,Tiempo!$AQ$17)</c:f>
              <c:numCache>
                <c:formatCode>General</c:formatCode>
                <c:ptCount val="14"/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3-4161-9730-473D72C7B9D3}"/>
            </c:ext>
          </c:extLst>
        </c:ser>
        <c:ser>
          <c:idx val="9"/>
          <c:order val="9"/>
          <c:tx>
            <c:strRef>
              <c:f>Tiempo!$C$20</c:f>
              <c:strCache>
                <c:ptCount val="1"/>
                <c:pt idx="0">
                  <c:v>Total de tiempo x act. (mins)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Tiempo!$D$8:$AS$10</c15:sqref>
                  </c15:fullRef>
                  <c15:levelRef>
                    <c15:sqref>Tiempo!$D$8:$AS$8</c15:sqref>
                  </c15:levelRef>
                </c:ext>
              </c:extLst>
              <c:f>(Tiempo!$D$8,Tiempo!$G$8,Tiempo!$J$8,Tiempo!$M$8,Tiempo!$P$8,Tiempo!$S$8,Tiempo!$V$8,Tiempo!$Y$8,Tiempo!$AB$8,Tiempo!$AE$8,Tiempo!$AH$8,Tiempo!$AK$8,Tiempo!$AN$8,Tiempo!$AQ$8)</c:f>
              <c:strCache>
                <c:ptCount val="14"/>
                <c:pt idx="0">
                  <c:v>Semana 1:                                                                           14 de febrero al 17 de febrero </c:v>
                </c:pt>
                <c:pt idx="1">
                  <c:v>Semana 2:                                                             21 de febrero al 24 de febrero </c:v>
                </c:pt>
                <c:pt idx="2">
                  <c:v>Semana 3:                                                                27 de febrero al 3 de marzo  </c:v>
                </c:pt>
                <c:pt idx="3">
                  <c:v>Semana 4:                                                                   6 de marzo al 10 de marzo </c:v>
                </c:pt>
                <c:pt idx="4">
                  <c:v>Semana 5:                                                                   13 de marzo al 17 de marzo </c:v>
                </c:pt>
                <c:pt idx="5">
                  <c:v>Semana 6:                                                                  20 de marzo al 24 de marzo </c:v>
                </c:pt>
                <c:pt idx="6">
                  <c:v>Semana 7:                                                       27 de febrero al 31 de febrero </c:v>
                </c:pt>
                <c:pt idx="7">
                  <c:v>Semana 8:                                                        3 de abril al 7 de abril  </c:v>
                </c:pt>
                <c:pt idx="8">
                  <c:v>Semana 9:                                                      10 de abril al 14 de abril  </c:v>
                </c:pt>
                <c:pt idx="9">
                  <c:v>Semana 10:                                                          17 de abril al 21 de abril  </c:v>
                </c:pt>
                <c:pt idx="10">
                  <c:v>Semana 11:                                                                       24 de abril al 28 de abril  </c:v>
                </c:pt>
                <c:pt idx="11">
                  <c:v>Semana 12:                                                                        1 de mayo al 5 de mayo </c:v>
                </c:pt>
                <c:pt idx="12">
                  <c:v>Semana 13:                                                                        8 de mayo al 12 de mayo </c:v>
                </c:pt>
                <c:pt idx="13">
                  <c:v>Semana 14:                                                                        15 de mayo al 19 de mayo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Tiempo!$D$20:$AS$20</c15:sqref>
                  </c15:fullRef>
                </c:ext>
              </c:extLst>
              <c:f>(Tiempo!$D$20,Tiempo!$G$20,Tiempo!$J$20,Tiempo!$M$20,Tiempo!$P$20,Tiempo!$S$20,Tiempo!$V$20,Tiempo!$Y$20,Tiempo!$AB$20,Tiempo!$AE$20,Tiempo!$AH$20,Tiempo!$AK$20,Tiempo!$AN$20,Tiempo!$AQ$20)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300</c:v>
                </c:pt>
                <c:pt idx="3">
                  <c:v>100</c:v>
                </c:pt>
                <c:pt idx="4">
                  <c:v>300</c:v>
                </c:pt>
                <c:pt idx="5">
                  <c:v>100</c:v>
                </c:pt>
                <c:pt idx="6">
                  <c:v>300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3-4161-9730-473D72C7B9D3}"/>
            </c:ext>
          </c:extLst>
        </c:ser>
        <c:ser>
          <c:idx val="12"/>
          <c:order val="12"/>
          <c:tx>
            <c:strRef>
              <c:f>Tiempo!$C$23</c:f>
              <c:strCache>
                <c:ptCount val="1"/>
                <c:pt idx="0">
                  <c:v>Total del tiempo x semana(mins)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Tiempo!$D$8:$AS$10</c15:sqref>
                  </c15:fullRef>
                  <c15:levelRef>
                    <c15:sqref>Tiempo!$D$8:$AS$8</c15:sqref>
                  </c15:levelRef>
                </c:ext>
              </c:extLst>
              <c:f>(Tiempo!$D$8,Tiempo!$G$8,Tiempo!$J$8,Tiempo!$M$8,Tiempo!$P$8,Tiempo!$S$8,Tiempo!$V$8,Tiempo!$Y$8,Tiempo!$AB$8,Tiempo!$AE$8,Tiempo!$AH$8,Tiempo!$AK$8,Tiempo!$AN$8,Tiempo!$AQ$8)</c:f>
              <c:strCache>
                <c:ptCount val="14"/>
                <c:pt idx="0">
                  <c:v>Semana 1:                                                                           14 de febrero al 17 de febrero </c:v>
                </c:pt>
                <c:pt idx="1">
                  <c:v>Semana 2:                                                             21 de febrero al 24 de febrero </c:v>
                </c:pt>
                <c:pt idx="2">
                  <c:v>Semana 3:                                                                27 de febrero al 3 de marzo  </c:v>
                </c:pt>
                <c:pt idx="3">
                  <c:v>Semana 4:                                                                   6 de marzo al 10 de marzo </c:v>
                </c:pt>
                <c:pt idx="4">
                  <c:v>Semana 5:                                                                   13 de marzo al 17 de marzo </c:v>
                </c:pt>
                <c:pt idx="5">
                  <c:v>Semana 6:                                                                  20 de marzo al 24 de marzo </c:v>
                </c:pt>
                <c:pt idx="6">
                  <c:v>Semana 7:                                                       27 de febrero al 31 de febrero </c:v>
                </c:pt>
                <c:pt idx="7">
                  <c:v>Semana 8:                                                        3 de abril al 7 de abril  </c:v>
                </c:pt>
                <c:pt idx="8">
                  <c:v>Semana 9:                                                      10 de abril al 14 de abril  </c:v>
                </c:pt>
                <c:pt idx="9">
                  <c:v>Semana 10:                                                          17 de abril al 21 de abril  </c:v>
                </c:pt>
                <c:pt idx="10">
                  <c:v>Semana 11:                                                                       24 de abril al 28 de abril  </c:v>
                </c:pt>
                <c:pt idx="11">
                  <c:v>Semana 12:                                                                        1 de mayo al 5 de mayo </c:v>
                </c:pt>
                <c:pt idx="12">
                  <c:v>Semana 13:                                                                        8 de mayo al 12 de mayo </c:v>
                </c:pt>
                <c:pt idx="13">
                  <c:v>Semana 14:                                                                        15 de mayo al 19 de mayo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Tiempo!$D$23:$AS$23</c15:sqref>
                  </c15:fullRef>
                </c:ext>
              </c:extLst>
              <c:f>(Tiempo!$D$23,Tiempo!$G$23,Tiempo!$J$23,Tiempo!$M$23,Tiempo!$P$23,Tiempo!$S$23,Tiempo!$V$23,Tiempo!$Y$23,Tiempo!$AB$23,Tiempo!$AE$23,Tiempo!$AH$23,Tiempo!$AK$23,Tiempo!$AN$23,Tiempo!$AQ$23)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660</c:v>
                </c:pt>
                <c:pt idx="3">
                  <c:v>200</c:v>
                </c:pt>
                <c:pt idx="4">
                  <c:v>600</c:v>
                </c:pt>
                <c:pt idx="5">
                  <c:v>140</c:v>
                </c:pt>
                <c:pt idx="6">
                  <c:v>440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120</c:v>
                </c:pt>
                <c:pt idx="11">
                  <c:v>180</c:v>
                </c:pt>
                <c:pt idx="12">
                  <c:v>180</c:v>
                </c:pt>
                <c:pt idx="1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3-4161-9730-473D72C7B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127360"/>
        <c:axId val="2711301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Tiempo!$C$11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Tiempo!$D$8:$AS$10</c15:sqref>
                        </c15:fullRef>
                        <c15:levelRef>
                          <c15:sqref>Tiempo!$D$8:$AS$8</c15:sqref>
                        </c15:levelRef>
                        <c15:formulaRef>
                          <c15:sqref>(Tiempo!$D$8,Tiempo!$G$8,Tiempo!$J$8,Tiempo!$M$8,Tiempo!$P$8,Tiempo!$S$8,Tiempo!$V$8,Tiempo!$Y$8,Tiempo!$AB$8,Tiempo!$AE$8,Tiempo!$AH$8,Tiempo!$AK$8,Tiempo!$AN$8,Tiempo!$AQ$8)</c15:sqref>
                        </c15:formulaRef>
                      </c:ext>
                    </c:extLst>
                    <c:strCache>
                      <c:ptCount val="14"/>
                      <c:pt idx="0">
                        <c:v>Semana 1:                                                                           14 de febrero al 17 de febrero </c:v>
                      </c:pt>
                      <c:pt idx="1">
                        <c:v>Semana 2:                                                             21 de febrero al 24 de febrero </c:v>
                      </c:pt>
                      <c:pt idx="2">
                        <c:v>Semana 3:                                                                27 de febrero al 3 de marzo  </c:v>
                      </c:pt>
                      <c:pt idx="3">
                        <c:v>Semana 4:                                                                   6 de marzo al 10 de marzo </c:v>
                      </c:pt>
                      <c:pt idx="4">
                        <c:v>Semana 5:                                                                   13 de marzo al 17 de marzo </c:v>
                      </c:pt>
                      <c:pt idx="5">
                        <c:v>Semana 6:                                                                  20 de marzo al 24 de marzo </c:v>
                      </c:pt>
                      <c:pt idx="6">
                        <c:v>Semana 7:                                                       27 de febrero al 31 de febrero </c:v>
                      </c:pt>
                      <c:pt idx="7">
                        <c:v>Semana 8:                                                        3 de abril al 7 de abril  </c:v>
                      </c:pt>
                      <c:pt idx="8">
                        <c:v>Semana 9:                                                      10 de abril al 14 de abril  </c:v>
                      </c:pt>
                      <c:pt idx="9">
                        <c:v>Semana 10:                                                          17 de abril al 21 de abril  </c:v>
                      </c:pt>
                      <c:pt idx="10">
                        <c:v>Semana 11:                                                                       24 de abril al 28 de abril  </c:v>
                      </c:pt>
                      <c:pt idx="11">
                        <c:v>Semana 12:                                                                        1 de mayo al 5 de mayo </c:v>
                      </c:pt>
                      <c:pt idx="12">
                        <c:v>Semana 13:                                                                        8 de mayo al 12 de mayo </c:v>
                      </c:pt>
                      <c:pt idx="13">
                        <c:v>Semana 14:                                                                        15 de mayo al 19 de mayo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Tiempo!$D$11:$AS$11</c15:sqref>
                        </c15:fullRef>
                        <c15:formulaRef>
                          <c15:sqref>(Tiempo!$D$11,Tiempo!$G$11,Tiempo!$J$11,Tiempo!$M$11,Tiempo!$P$11,Tiempo!$S$11,Tiempo!$V$11,Tiempo!$Y$11,Tiempo!$AB$11,Tiempo!$AE$11,Tiempo!$AH$11,Tiempo!$AK$11,Tiempo!$AN$11,Tiempo!$AQ$11)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B873-4161-9730-473D72C7B9D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Tiempo!$C$12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Tiempo!$D$8:$AS$10</c15:sqref>
                        </c15:fullRef>
                        <c15:levelRef>
                          <c15:sqref>Tiempo!$D$8:$AS$8</c15:sqref>
                        </c15:levelRef>
                        <c15:formulaRef>
                          <c15:sqref>(Tiempo!$D$8,Tiempo!$G$8,Tiempo!$J$8,Tiempo!$M$8,Tiempo!$P$8,Tiempo!$S$8,Tiempo!$V$8,Tiempo!$Y$8,Tiempo!$AB$8,Tiempo!$AE$8,Tiempo!$AH$8,Tiempo!$AK$8,Tiempo!$AN$8,Tiempo!$AQ$8)</c15:sqref>
                        </c15:formulaRef>
                      </c:ext>
                    </c:extLst>
                    <c:strCache>
                      <c:ptCount val="14"/>
                      <c:pt idx="0">
                        <c:v>Semana 1:                                                                           14 de febrero al 17 de febrero </c:v>
                      </c:pt>
                      <c:pt idx="1">
                        <c:v>Semana 2:                                                             21 de febrero al 24 de febrero </c:v>
                      </c:pt>
                      <c:pt idx="2">
                        <c:v>Semana 3:                                                                27 de febrero al 3 de marzo  </c:v>
                      </c:pt>
                      <c:pt idx="3">
                        <c:v>Semana 4:                                                                   6 de marzo al 10 de marzo </c:v>
                      </c:pt>
                      <c:pt idx="4">
                        <c:v>Semana 5:                                                                   13 de marzo al 17 de marzo </c:v>
                      </c:pt>
                      <c:pt idx="5">
                        <c:v>Semana 6:                                                                  20 de marzo al 24 de marzo </c:v>
                      </c:pt>
                      <c:pt idx="6">
                        <c:v>Semana 7:                                                       27 de febrero al 31 de febrero </c:v>
                      </c:pt>
                      <c:pt idx="7">
                        <c:v>Semana 8:                                                        3 de abril al 7 de abril  </c:v>
                      </c:pt>
                      <c:pt idx="8">
                        <c:v>Semana 9:                                                      10 de abril al 14 de abril  </c:v>
                      </c:pt>
                      <c:pt idx="9">
                        <c:v>Semana 10:                                                          17 de abril al 21 de abril  </c:v>
                      </c:pt>
                      <c:pt idx="10">
                        <c:v>Semana 11:                                                                       24 de abril al 28 de abril  </c:v>
                      </c:pt>
                      <c:pt idx="11">
                        <c:v>Semana 12:                                                                        1 de mayo al 5 de mayo </c:v>
                      </c:pt>
                      <c:pt idx="12">
                        <c:v>Semana 13:                                                                        8 de mayo al 12 de mayo </c:v>
                      </c:pt>
                      <c:pt idx="13">
                        <c:v>Semana 14:                                                                        15 de mayo al 19 de mayo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Tiempo!$D$12:$AS$12</c15:sqref>
                        </c15:fullRef>
                        <c15:formulaRef>
                          <c15:sqref>(Tiempo!$D$12,Tiempo!$G$12,Tiempo!$J$12,Tiempo!$M$12,Tiempo!$P$12,Tiempo!$S$12,Tiempo!$V$12,Tiempo!$Y$12,Tiempo!$AB$12,Tiempo!$AE$12,Tiempo!$AH$12,Tiempo!$AK$12,Tiempo!$AN$12,Tiempo!$AQ$12)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873-4161-9730-473D72C7B9D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Tiempo!$C$13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Tiempo!$D$8:$AS$10</c15:sqref>
                        </c15:fullRef>
                        <c15:levelRef>
                          <c15:sqref>Tiempo!$D$8:$AS$8</c15:sqref>
                        </c15:levelRef>
                        <c15:formulaRef>
                          <c15:sqref>(Tiempo!$D$8,Tiempo!$G$8,Tiempo!$J$8,Tiempo!$M$8,Tiempo!$P$8,Tiempo!$S$8,Tiempo!$V$8,Tiempo!$Y$8,Tiempo!$AB$8,Tiempo!$AE$8,Tiempo!$AH$8,Tiempo!$AK$8,Tiempo!$AN$8,Tiempo!$AQ$8)</c15:sqref>
                        </c15:formulaRef>
                      </c:ext>
                    </c:extLst>
                    <c:strCache>
                      <c:ptCount val="14"/>
                      <c:pt idx="0">
                        <c:v>Semana 1:                                                                           14 de febrero al 17 de febrero </c:v>
                      </c:pt>
                      <c:pt idx="1">
                        <c:v>Semana 2:                                                             21 de febrero al 24 de febrero </c:v>
                      </c:pt>
                      <c:pt idx="2">
                        <c:v>Semana 3:                                                                27 de febrero al 3 de marzo  </c:v>
                      </c:pt>
                      <c:pt idx="3">
                        <c:v>Semana 4:                                                                   6 de marzo al 10 de marzo </c:v>
                      </c:pt>
                      <c:pt idx="4">
                        <c:v>Semana 5:                                                                   13 de marzo al 17 de marzo </c:v>
                      </c:pt>
                      <c:pt idx="5">
                        <c:v>Semana 6:                                                                  20 de marzo al 24 de marzo </c:v>
                      </c:pt>
                      <c:pt idx="6">
                        <c:v>Semana 7:                                                       27 de febrero al 31 de febrero </c:v>
                      </c:pt>
                      <c:pt idx="7">
                        <c:v>Semana 8:                                                        3 de abril al 7 de abril  </c:v>
                      </c:pt>
                      <c:pt idx="8">
                        <c:v>Semana 9:                                                      10 de abril al 14 de abril  </c:v>
                      </c:pt>
                      <c:pt idx="9">
                        <c:v>Semana 10:                                                          17 de abril al 21 de abril  </c:v>
                      </c:pt>
                      <c:pt idx="10">
                        <c:v>Semana 11:                                                                       24 de abril al 28 de abril  </c:v>
                      </c:pt>
                      <c:pt idx="11">
                        <c:v>Semana 12:                                                                        1 de mayo al 5 de mayo </c:v>
                      </c:pt>
                      <c:pt idx="12">
                        <c:v>Semana 13:                                                                        8 de mayo al 12 de mayo </c:v>
                      </c:pt>
                      <c:pt idx="13">
                        <c:v>Semana 14:                                                                        15 de mayo al 19 de mayo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Tiempo!$D$13:$AS$13</c15:sqref>
                        </c15:fullRef>
                        <c15:formulaRef>
                          <c15:sqref>(Tiempo!$D$13,Tiempo!$G$13,Tiempo!$J$13,Tiempo!$M$13,Tiempo!$P$13,Tiempo!$S$13,Tiempo!$V$13,Tiempo!$Y$13,Tiempo!$AB$13,Tiempo!$AE$13,Tiempo!$AH$13,Tiempo!$AK$13,Tiempo!$AN$13,Tiempo!$AQ$13)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873-4161-9730-473D72C7B9D3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Tiempo!$C$14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Tiempo!$D$8:$AS$10</c15:sqref>
                        </c15:fullRef>
                        <c15:levelRef>
                          <c15:sqref>Tiempo!$D$8:$AS$8</c15:sqref>
                        </c15:levelRef>
                        <c15:formulaRef>
                          <c15:sqref>(Tiempo!$D$8,Tiempo!$G$8,Tiempo!$J$8,Tiempo!$M$8,Tiempo!$P$8,Tiempo!$S$8,Tiempo!$V$8,Tiempo!$Y$8,Tiempo!$AB$8,Tiempo!$AE$8,Tiempo!$AH$8,Tiempo!$AK$8,Tiempo!$AN$8,Tiempo!$AQ$8)</c15:sqref>
                        </c15:formulaRef>
                      </c:ext>
                    </c:extLst>
                    <c:strCache>
                      <c:ptCount val="14"/>
                      <c:pt idx="0">
                        <c:v>Semana 1:                                                                           14 de febrero al 17 de febrero </c:v>
                      </c:pt>
                      <c:pt idx="1">
                        <c:v>Semana 2:                                                             21 de febrero al 24 de febrero </c:v>
                      </c:pt>
                      <c:pt idx="2">
                        <c:v>Semana 3:                                                                27 de febrero al 3 de marzo  </c:v>
                      </c:pt>
                      <c:pt idx="3">
                        <c:v>Semana 4:                                                                   6 de marzo al 10 de marzo </c:v>
                      </c:pt>
                      <c:pt idx="4">
                        <c:v>Semana 5:                                                                   13 de marzo al 17 de marzo </c:v>
                      </c:pt>
                      <c:pt idx="5">
                        <c:v>Semana 6:                                                                  20 de marzo al 24 de marzo </c:v>
                      </c:pt>
                      <c:pt idx="6">
                        <c:v>Semana 7:                                                       27 de febrero al 31 de febrero </c:v>
                      </c:pt>
                      <c:pt idx="7">
                        <c:v>Semana 8:                                                        3 de abril al 7 de abril  </c:v>
                      </c:pt>
                      <c:pt idx="8">
                        <c:v>Semana 9:                                                      10 de abril al 14 de abril  </c:v>
                      </c:pt>
                      <c:pt idx="9">
                        <c:v>Semana 10:                                                          17 de abril al 21 de abril  </c:v>
                      </c:pt>
                      <c:pt idx="10">
                        <c:v>Semana 11:                                                                       24 de abril al 28 de abril  </c:v>
                      </c:pt>
                      <c:pt idx="11">
                        <c:v>Semana 12:                                                                        1 de mayo al 5 de mayo </c:v>
                      </c:pt>
                      <c:pt idx="12">
                        <c:v>Semana 13:                                                                        8 de mayo al 12 de mayo </c:v>
                      </c:pt>
                      <c:pt idx="13">
                        <c:v>Semana 14:                                                                        15 de mayo al 19 de mayo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Tiempo!$D$14:$AS$14</c15:sqref>
                        </c15:fullRef>
                        <c15:formulaRef>
                          <c15:sqref>(Tiempo!$D$14,Tiempo!$G$14,Tiempo!$J$14,Tiempo!$M$14,Tiempo!$P$14,Tiempo!$S$14,Tiempo!$V$14,Tiempo!$Y$14,Tiempo!$AB$14,Tiempo!$AE$14,Tiempo!$AH$14,Tiempo!$AK$14,Tiempo!$AN$14,Tiempo!$AQ$14)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873-4161-9730-473D72C7B9D3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Tiempo!$C$15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Tiempo!$D$8:$AS$10</c15:sqref>
                        </c15:fullRef>
                        <c15:levelRef>
                          <c15:sqref>Tiempo!$D$8:$AS$8</c15:sqref>
                        </c15:levelRef>
                        <c15:formulaRef>
                          <c15:sqref>(Tiempo!$D$8,Tiempo!$G$8,Tiempo!$J$8,Tiempo!$M$8,Tiempo!$P$8,Tiempo!$S$8,Tiempo!$V$8,Tiempo!$Y$8,Tiempo!$AB$8,Tiempo!$AE$8,Tiempo!$AH$8,Tiempo!$AK$8,Tiempo!$AN$8,Tiempo!$AQ$8)</c15:sqref>
                        </c15:formulaRef>
                      </c:ext>
                    </c:extLst>
                    <c:strCache>
                      <c:ptCount val="14"/>
                      <c:pt idx="0">
                        <c:v>Semana 1:                                                                           14 de febrero al 17 de febrero </c:v>
                      </c:pt>
                      <c:pt idx="1">
                        <c:v>Semana 2:                                                             21 de febrero al 24 de febrero </c:v>
                      </c:pt>
                      <c:pt idx="2">
                        <c:v>Semana 3:                                                                27 de febrero al 3 de marzo  </c:v>
                      </c:pt>
                      <c:pt idx="3">
                        <c:v>Semana 4:                                                                   6 de marzo al 10 de marzo </c:v>
                      </c:pt>
                      <c:pt idx="4">
                        <c:v>Semana 5:                                                                   13 de marzo al 17 de marzo </c:v>
                      </c:pt>
                      <c:pt idx="5">
                        <c:v>Semana 6:                                                                  20 de marzo al 24 de marzo </c:v>
                      </c:pt>
                      <c:pt idx="6">
                        <c:v>Semana 7:                                                       27 de febrero al 31 de febrero </c:v>
                      </c:pt>
                      <c:pt idx="7">
                        <c:v>Semana 8:                                                        3 de abril al 7 de abril  </c:v>
                      </c:pt>
                      <c:pt idx="8">
                        <c:v>Semana 9:                                                      10 de abril al 14 de abril  </c:v>
                      </c:pt>
                      <c:pt idx="9">
                        <c:v>Semana 10:                                                          17 de abril al 21 de abril  </c:v>
                      </c:pt>
                      <c:pt idx="10">
                        <c:v>Semana 11:                                                                       24 de abril al 28 de abril  </c:v>
                      </c:pt>
                      <c:pt idx="11">
                        <c:v>Semana 12:                                                                        1 de mayo al 5 de mayo </c:v>
                      </c:pt>
                      <c:pt idx="12">
                        <c:v>Semana 13:                                                                        8 de mayo al 12 de mayo </c:v>
                      </c:pt>
                      <c:pt idx="13">
                        <c:v>Semana 14:                                                                        15 de mayo al 19 de mayo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Tiempo!$D$15:$AS$15</c15:sqref>
                        </c15:fullRef>
                        <c15:formulaRef>
                          <c15:sqref>(Tiempo!$D$15,Tiempo!$G$15,Tiempo!$J$15,Tiempo!$M$15,Tiempo!$P$15,Tiempo!$S$15,Tiempo!$V$15,Tiempo!$Y$15,Tiempo!$AB$15,Tiempo!$AE$15,Tiempo!$AH$15,Tiempo!$AK$15,Tiempo!$AN$15,Tiempo!$AQ$15)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873-4161-9730-473D72C7B9D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Tiempo!$C$18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Tiempo!$D$8:$AS$10</c15:sqref>
                        </c15:fullRef>
                        <c15:levelRef>
                          <c15:sqref>Tiempo!$D$8:$AS$8</c15:sqref>
                        </c15:levelRef>
                        <c15:formulaRef>
                          <c15:sqref>(Tiempo!$D$8,Tiempo!$G$8,Tiempo!$J$8,Tiempo!$M$8,Tiempo!$P$8,Tiempo!$S$8,Tiempo!$V$8,Tiempo!$Y$8,Tiempo!$AB$8,Tiempo!$AE$8,Tiempo!$AH$8,Tiempo!$AK$8,Tiempo!$AN$8,Tiempo!$AQ$8)</c15:sqref>
                        </c15:formulaRef>
                      </c:ext>
                    </c:extLst>
                    <c:strCache>
                      <c:ptCount val="14"/>
                      <c:pt idx="0">
                        <c:v>Semana 1:                                                                           14 de febrero al 17 de febrero </c:v>
                      </c:pt>
                      <c:pt idx="1">
                        <c:v>Semana 2:                                                             21 de febrero al 24 de febrero </c:v>
                      </c:pt>
                      <c:pt idx="2">
                        <c:v>Semana 3:                                                                27 de febrero al 3 de marzo  </c:v>
                      </c:pt>
                      <c:pt idx="3">
                        <c:v>Semana 4:                                                                   6 de marzo al 10 de marzo </c:v>
                      </c:pt>
                      <c:pt idx="4">
                        <c:v>Semana 5:                                                                   13 de marzo al 17 de marzo </c:v>
                      </c:pt>
                      <c:pt idx="5">
                        <c:v>Semana 6:                                                                  20 de marzo al 24 de marzo </c:v>
                      </c:pt>
                      <c:pt idx="6">
                        <c:v>Semana 7:                                                       27 de febrero al 31 de febrero </c:v>
                      </c:pt>
                      <c:pt idx="7">
                        <c:v>Semana 8:                                                        3 de abril al 7 de abril  </c:v>
                      </c:pt>
                      <c:pt idx="8">
                        <c:v>Semana 9:                                                      10 de abril al 14 de abril  </c:v>
                      </c:pt>
                      <c:pt idx="9">
                        <c:v>Semana 10:                                                          17 de abril al 21 de abril  </c:v>
                      </c:pt>
                      <c:pt idx="10">
                        <c:v>Semana 11:                                                                       24 de abril al 28 de abril  </c:v>
                      </c:pt>
                      <c:pt idx="11">
                        <c:v>Semana 12:                                                                        1 de mayo al 5 de mayo </c:v>
                      </c:pt>
                      <c:pt idx="12">
                        <c:v>Semana 13:                                                                        8 de mayo al 12 de mayo </c:v>
                      </c:pt>
                      <c:pt idx="13">
                        <c:v>Semana 14:                                                                        15 de mayo al 19 de mayo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Tiempo!$D$18:$AS$18</c15:sqref>
                        </c15:fullRef>
                        <c15:formulaRef>
                          <c15:sqref>(Tiempo!$D$18,Tiempo!$G$18,Tiempo!$J$18,Tiempo!$M$18,Tiempo!$P$18,Tiempo!$S$18,Tiempo!$V$18,Tiempo!$Y$18,Tiempo!$AB$18,Tiempo!$AE$18,Tiempo!$AH$18,Tiempo!$AK$18,Tiempo!$AN$18,Tiempo!$AQ$18)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873-4161-9730-473D72C7B9D3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Tiempo!$C$19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Tiempo!$D$8:$AS$10</c15:sqref>
                        </c15:fullRef>
                        <c15:levelRef>
                          <c15:sqref>Tiempo!$D$8:$AS$8</c15:sqref>
                        </c15:levelRef>
                        <c15:formulaRef>
                          <c15:sqref>(Tiempo!$D$8,Tiempo!$G$8,Tiempo!$J$8,Tiempo!$M$8,Tiempo!$P$8,Tiempo!$S$8,Tiempo!$V$8,Tiempo!$Y$8,Tiempo!$AB$8,Tiempo!$AE$8,Tiempo!$AH$8,Tiempo!$AK$8,Tiempo!$AN$8,Tiempo!$AQ$8)</c15:sqref>
                        </c15:formulaRef>
                      </c:ext>
                    </c:extLst>
                    <c:strCache>
                      <c:ptCount val="14"/>
                      <c:pt idx="0">
                        <c:v>Semana 1:                                                                           14 de febrero al 17 de febrero </c:v>
                      </c:pt>
                      <c:pt idx="1">
                        <c:v>Semana 2:                                                             21 de febrero al 24 de febrero </c:v>
                      </c:pt>
                      <c:pt idx="2">
                        <c:v>Semana 3:                                                                27 de febrero al 3 de marzo  </c:v>
                      </c:pt>
                      <c:pt idx="3">
                        <c:v>Semana 4:                                                                   6 de marzo al 10 de marzo </c:v>
                      </c:pt>
                      <c:pt idx="4">
                        <c:v>Semana 5:                                                                   13 de marzo al 17 de marzo </c:v>
                      </c:pt>
                      <c:pt idx="5">
                        <c:v>Semana 6:                                                                  20 de marzo al 24 de marzo </c:v>
                      </c:pt>
                      <c:pt idx="6">
                        <c:v>Semana 7:                                                       27 de febrero al 31 de febrero </c:v>
                      </c:pt>
                      <c:pt idx="7">
                        <c:v>Semana 8:                                                        3 de abril al 7 de abril  </c:v>
                      </c:pt>
                      <c:pt idx="8">
                        <c:v>Semana 9:                                                      10 de abril al 14 de abril  </c:v>
                      </c:pt>
                      <c:pt idx="9">
                        <c:v>Semana 10:                                                          17 de abril al 21 de abril  </c:v>
                      </c:pt>
                      <c:pt idx="10">
                        <c:v>Semana 11:                                                                       24 de abril al 28 de abril  </c:v>
                      </c:pt>
                      <c:pt idx="11">
                        <c:v>Semana 12:                                                                        1 de mayo al 5 de mayo </c:v>
                      </c:pt>
                      <c:pt idx="12">
                        <c:v>Semana 13:                                                                        8 de mayo al 12 de mayo </c:v>
                      </c:pt>
                      <c:pt idx="13">
                        <c:v>Semana 14:                                                                        15 de mayo al 19 de mayo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Tiempo!$D$19:$AS$19</c15:sqref>
                        </c15:fullRef>
                        <c15:formulaRef>
                          <c15:sqref>(Tiempo!$D$19,Tiempo!$G$19,Tiempo!$J$19,Tiempo!$M$19,Tiempo!$P$19,Tiempo!$S$19,Tiempo!$V$19,Tiempo!$Y$19,Tiempo!$AB$19,Tiempo!$AE$19,Tiempo!$AH$19,Tiempo!$AK$19,Tiempo!$AN$19,Tiempo!$AQ$19)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873-4161-9730-473D72C7B9D3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Tiempo!$C$21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Tiempo!$D$8:$AS$10</c15:sqref>
                        </c15:fullRef>
                        <c15:levelRef>
                          <c15:sqref>Tiempo!$D$8:$AS$8</c15:sqref>
                        </c15:levelRef>
                        <c15:formulaRef>
                          <c15:sqref>(Tiempo!$D$8,Tiempo!$G$8,Tiempo!$J$8,Tiempo!$M$8,Tiempo!$P$8,Tiempo!$S$8,Tiempo!$V$8,Tiempo!$Y$8,Tiempo!$AB$8,Tiempo!$AE$8,Tiempo!$AH$8,Tiempo!$AK$8,Tiempo!$AN$8,Tiempo!$AQ$8)</c15:sqref>
                        </c15:formulaRef>
                      </c:ext>
                    </c:extLst>
                    <c:strCache>
                      <c:ptCount val="14"/>
                      <c:pt idx="0">
                        <c:v>Semana 1:                                                                           14 de febrero al 17 de febrero </c:v>
                      </c:pt>
                      <c:pt idx="1">
                        <c:v>Semana 2:                                                             21 de febrero al 24 de febrero </c:v>
                      </c:pt>
                      <c:pt idx="2">
                        <c:v>Semana 3:                                                                27 de febrero al 3 de marzo  </c:v>
                      </c:pt>
                      <c:pt idx="3">
                        <c:v>Semana 4:                                                                   6 de marzo al 10 de marzo </c:v>
                      </c:pt>
                      <c:pt idx="4">
                        <c:v>Semana 5:                                                                   13 de marzo al 17 de marzo </c:v>
                      </c:pt>
                      <c:pt idx="5">
                        <c:v>Semana 6:                                                                  20 de marzo al 24 de marzo </c:v>
                      </c:pt>
                      <c:pt idx="6">
                        <c:v>Semana 7:                                                       27 de febrero al 31 de febrero </c:v>
                      </c:pt>
                      <c:pt idx="7">
                        <c:v>Semana 8:                                                        3 de abril al 7 de abril  </c:v>
                      </c:pt>
                      <c:pt idx="8">
                        <c:v>Semana 9:                                                      10 de abril al 14 de abril  </c:v>
                      </c:pt>
                      <c:pt idx="9">
                        <c:v>Semana 10:                                                          17 de abril al 21 de abril  </c:v>
                      </c:pt>
                      <c:pt idx="10">
                        <c:v>Semana 11:                                                                       24 de abril al 28 de abril  </c:v>
                      </c:pt>
                      <c:pt idx="11">
                        <c:v>Semana 12:                                                                        1 de mayo al 5 de mayo </c:v>
                      </c:pt>
                      <c:pt idx="12">
                        <c:v>Semana 13:                                                                        8 de mayo al 12 de mayo </c:v>
                      </c:pt>
                      <c:pt idx="13">
                        <c:v>Semana 14:                                                                        15 de mayo al 19 de mayo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Tiempo!$D$21:$AS$21</c15:sqref>
                        </c15:fullRef>
                        <c15:formulaRef>
                          <c15:sqref>(Tiempo!$D$21,Tiempo!$G$21,Tiempo!$J$21,Tiempo!$M$21,Tiempo!$P$21,Tiempo!$S$21,Tiempo!$V$21,Tiempo!$Y$21,Tiempo!$AB$21,Tiempo!$AE$21,Tiempo!$AH$21,Tiempo!$AK$21,Tiempo!$AN$21,Tiempo!$AQ$21)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873-4161-9730-473D72C7B9D3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Tiempo!$C$22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Tiempo!$D$8:$AS$10</c15:sqref>
                        </c15:fullRef>
                        <c15:levelRef>
                          <c15:sqref>Tiempo!$D$8:$AS$8</c15:sqref>
                        </c15:levelRef>
                        <c15:formulaRef>
                          <c15:sqref>(Tiempo!$D$8,Tiempo!$G$8,Tiempo!$J$8,Tiempo!$M$8,Tiempo!$P$8,Tiempo!$S$8,Tiempo!$V$8,Tiempo!$Y$8,Tiempo!$AB$8,Tiempo!$AE$8,Tiempo!$AH$8,Tiempo!$AK$8,Tiempo!$AN$8,Tiempo!$AQ$8)</c15:sqref>
                        </c15:formulaRef>
                      </c:ext>
                    </c:extLst>
                    <c:strCache>
                      <c:ptCount val="14"/>
                      <c:pt idx="0">
                        <c:v>Semana 1:                                                                           14 de febrero al 17 de febrero </c:v>
                      </c:pt>
                      <c:pt idx="1">
                        <c:v>Semana 2:                                                             21 de febrero al 24 de febrero </c:v>
                      </c:pt>
                      <c:pt idx="2">
                        <c:v>Semana 3:                                                                27 de febrero al 3 de marzo  </c:v>
                      </c:pt>
                      <c:pt idx="3">
                        <c:v>Semana 4:                                                                   6 de marzo al 10 de marzo </c:v>
                      </c:pt>
                      <c:pt idx="4">
                        <c:v>Semana 5:                                                                   13 de marzo al 17 de marzo </c:v>
                      </c:pt>
                      <c:pt idx="5">
                        <c:v>Semana 6:                                                                  20 de marzo al 24 de marzo </c:v>
                      </c:pt>
                      <c:pt idx="6">
                        <c:v>Semana 7:                                                       27 de febrero al 31 de febrero </c:v>
                      </c:pt>
                      <c:pt idx="7">
                        <c:v>Semana 8:                                                        3 de abril al 7 de abril  </c:v>
                      </c:pt>
                      <c:pt idx="8">
                        <c:v>Semana 9:                                                      10 de abril al 14 de abril  </c:v>
                      </c:pt>
                      <c:pt idx="9">
                        <c:v>Semana 10:                                                          17 de abril al 21 de abril  </c:v>
                      </c:pt>
                      <c:pt idx="10">
                        <c:v>Semana 11:                                                                       24 de abril al 28 de abril  </c:v>
                      </c:pt>
                      <c:pt idx="11">
                        <c:v>Semana 12:                                                                        1 de mayo al 5 de mayo </c:v>
                      </c:pt>
                      <c:pt idx="12">
                        <c:v>Semana 13:                                                                        8 de mayo al 12 de mayo </c:v>
                      </c:pt>
                      <c:pt idx="13">
                        <c:v>Semana 14:                                                                        15 de mayo al 19 de mayo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Tiempo!$D$22:$AS$22</c15:sqref>
                        </c15:fullRef>
                        <c15:formulaRef>
                          <c15:sqref>(Tiempo!$D$22,Tiempo!$G$22,Tiempo!$J$22,Tiempo!$M$22,Tiempo!$P$22,Tiempo!$S$22,Tiempo!$V$22,Tiempo!$Y$22,Tiempo!$AB$22,Tiempo!$AE$22,Tiempo!$AH$22,Tiempo!$AK$22,Tiempo!$AN$22,Tiempo!$AQ$22)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873-4161-9730-473D72C7B9D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Tiempo!$C$24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Tiempo!$D$8:$AS$10</c15:sqref>
                        </c15:fullRef>
                        <c15:levelRef>
                          <c15:sqref>Tiempo!$D$8:$AS$8</c15:sqref>
                        </c15:levelRef>
                        <c15:formulaRef>
                          <c15:sqref>(Tiempo!$D$8,Tiempo!$G$8,Tiempo!$J$8,Tiempo!$M$8,Tiempo!$P$8,Tiempo!$S$8,Tiempo!$V$8,Tiempo!$Y$8,Tiempo!$AB$8,Tiempo!$AE$8,Tiempo!$AH$8,Tiempo!$AK$8,Tiempo!$AN$8,Tiempo!$AQ$8)</c15:sqref>
                        </c15:formulaRef>
                      </c:ext>
                    </c:extLst>
                    <c:strCache>
                      <c:ptCount val="14"/>
                      <c:pt idx="0">
                        <c:v>Semana 1:                                                                           14 de febrero al 17 de febrero </c:v>
                      </c:pt>
                      <c:pt idx="1">
                        <c:v>Semana 2:                                                             21 de febrero al 24 de febrero </c:v>
                      </c:pt>
                      <c:pt idx="2">
                        <c:v>Semana 3:                                                                27 de febrero al 3 de marzo  </c:v>
                      </c:pt>
                      <c:pt idx="3">
                        <c:v>Semana 4:                                                                   6 de marzo al 10 de marzo </c:v>
                      </c:pt>
                      <c:pt idx="4">
                        <c:v>Semana 5:                                                                   13 de marzo al 17 de marzo </c:v>
                      </c:pt>
                      <c:pt idx="5">
                        <c:v>Semana 6:                                                                  20 de marzo al 24 de marzo </c:v>
                      </c:pt>
                      <c:pt idx="6">
                        <c:v>Semana 7:                                                       27 de febrero al 31 de febrero </c:v>
                      </c:pt>
                      <c:pt idx="7">
                        <c:v>Semana 8:                                                        3 de abril al 7 de abril  </c:v>
                      </c:pt>
                      <c:pt idx="8">
                        <c:v>Semana 9:                                                      10 de abril al 14 de abril  </c:v>
                      </c:pt>
                      <c:pt idx="9">
                        <c:v>Semana 10:                                                          17 de abril al 21 de abril  </c:v>
                      </c:pt>
                      <c:pt idx="10">
                        <c:v>Semana 11:                                                                       24 de abril al 28 de abril  </c:v>
                      </c:pt>
                      <c:pt idx="11">
                        <c:v>Semana 12:                                                                        1 de mayo al 5 de mayo </c:v>
                      </c:pt>
                      <c:pt idx="12">
                        <c:v>Semana 13:                                                                        8 de mayo al 12 de mayo </c:v>
                      </c:pt>
                      <c:pt idx="13">
                        <c:v>Semana 14:                                                                        15 de mayo al 19 de mayo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Tiempo!$D$24:$AS$24</c15:sqref>
                        </c15:fullRef>
                        <c15:formulaRef>
                          <c15:sqref>(Tiempo!$D$24,Tiempo!$G$24,Tiempo!$J$24,Tiempo!$M$24,Tiempo!$P$24,Tiempo!$S$24,Tiempo!$V$24,Tiempo!$Y$24,Tiempo!$AB$24,Tiempo!$AE$24,Tiempo!$AH$24,Tiempo!$AK$24,Tiempo!$AN$24,Tiempo!$AQ$24)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873-4161-9730-473D72C7B9D3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Tiempo!$C$25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Tiempo!$D$8:$AS$10</c15:sqref>
                        </c15:fullRef>
                        <c15:levelRef>
                          <c15:sqref>Tiempo!$D$8:$AS$8</c15:sqref>
                        </c15:levelRef>
                        <c15:formulaRef>
                          <c15:sqref>(Tiempo!$D$8,Tiempo!$G$8,Tiempo!$J$8,Tiempo!$M$8,Tiempo!$P$8,Tiempo!$S$8,Tiempo!$V$8,Tiempo!$Y$8,Tiempo!$AB$8,Tiempo!$AE$8,Tiempo!$AH$8,Tiempo!$AK$8,Tiempo!$AN$8,Tiempo!$AQ$8)</c15:sqref>
                        </c15:formulaRef>
                      </c:ext>
                    </c:extLst>
                    <c:strCache>
                      <c:ptCount val="14"/>
                      <c:pt idx="0">
                        <c:v>Semana 1:                                                                           14 de febrero al 17 de febrero </c:v>
                      </c:pt>
                      <c:pt idx="1">
                        <c:v>Semana 2:                                                             21 de febrero al 24 de febrero </c:v>
                      </c:pt>
                      <c:pt idx="2">
                        <c:v>Semana 3:                                                                27 de febrero al 3 de marzo  </c:v>
                      </c:pt>
                      <c:pt idx="3">
                        <c:v>Semana 4:                                                                   6 de marzo al 10 de marzo </c:v>
                      </c:pt>
                      <c:pt idx="4">
                        <c:v>Semana 5:                                                                   13 de marzo al 17 de marzo </c:v>
                      </c:pt>
                      <c:pt idx="5">
                        <c:v>Semana 6:                                                                  20 de marzo al 24 de marzo </c:v>
                      </c:pt>
                      <c:pt idx="6">
                        <c:v>Semana 7:                                                       27 de febrero al 31 de febrero </c:v>
                      </c:pt>
                      <c:pt idx="7">
                        <c:v>Semana 8:                                                        3 de abril al 7 de abril  </c:v>
                      </c:pt>
                      <c:pt idx="8">
                        <c:v>Semana 9:                                                      10 de abril al 14 de abril  </c:v>
                      </c:pt>
                      <c:pt idx="9">
                        <c:v>Semana 10:                                                          17 de abril al 21 de abril  </c:v>
                      </c:pt>
                      <c:pt idx="10">
                        <c:v>Semana 11:                                                                       24 de abril al 28 de abril  </c:v>
                      </c:pt>
                      <c:pt idx="11">
                        <c:v>Semana 12:                                                                        1 de mayo al 5 de mayo </c:v>
                      </c:pt>
                      <c:pt idx="12">
                        <c:v>Semana 13:                                                                        8 de mayo al 12 de mayo </c:v>
                      </c:pt>
                      <c:pt idx="13">
                        <c:v>Semana 14:                                                                        15 de mayo al 19 de mayo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Tiempo!$D$25:$AS$25</c15:sqref>
                        </c15:fullRef>
                        <c15:formulaRef>
                          <c15:sqref>(Tiempo!$D$25,Tiempo!$G$25,Tiempo!$J$25,Tiempo!$M$25,Tiempo!$P$25,Tiempo!$S$25,Tiempo!$V$25,Tiempo!$Y$25,Tiempo!$AB$25,Tiempo!$AE$25,Tiempo!$AH$25,Tiempo!$AK$25,Tiempo!$AN$25,Tiempo!$AQ$25)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873-4161-9730-473D72C7B9D3}"/>
                  </c:ext>
                </c:extLst>
              </c15:ser>
            </c15:filteredBarSeries>
          </c:ext>
        </c:extLst>
      </c:barChart>
      <c:catAx>
        <c:axId val="27112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1130104"/>
        <c:crosses val="autoZero"/>
        <c:auto val="1"/>
        <c:lblAlgn val="ctr"/>
        <c:lblOffset val="100"/>
        <c:noMultiLvlLbl val="0"/>
      </c:catAx>
      <c:valAx>
        <c:axId val="271130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112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4">
  <dgm:title val=""/>
  <dgm:desc val=""/>
  <dgm:catLst>
    <dgm:cat type="colorful" pri="104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4"/>
      <a:schemeClr val="accent5"/>
    </dgm:fillClrLst>
    <dgm:linClrLst>
      <a:schemeClr val="accent4"/>
      <a:schemeClr val="accent5"/>
    </dgm:linClrLst>
    <dgm:effectClrLst/>
    <dgm:txLinClrLst/>
    <dgm:txFillClrLst/>
    <dgm:txEffectClrLst/>
  </dgm:styleLbl>
  <dgm:styleLbl name="ln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4">
        <a:alpha val="50000"/>
      </a:schemeClr>
      <a:schemeClr val="accent5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4">
        <a:tint val="50000"/>
      </a:schemeClr>
      <a:schemeClr val="accent5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4"/>
      <a:schemeClr val="accent5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4"/>
    </dgm:fillClrLst>
    <dgm:linClrLst meth="repeat">
      <a:schemeClr val="accent4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4"/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4">
        <a:tint val="9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4">
        <a:tint val="5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4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4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4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4">
        <a:tint val="50000"/>
        <a:alpha val="40000"/>
      </a:schemeClr>
    </dgm:fillClrLst>
    <dgm:linClrLst meth="repeat">
      <a:schemeClr val="accent4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4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4">
  <dgm:title val=""/>
  <dgm:desc val=""/>
  <dgm:catLst>
    <dgm:cat type="colorful" pri="104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4"/>
      <a:schemeClr val="accent5"/>
    </dgm:fillClrLst>
    <dgm:linClrLst>
      <a:schemeClr val="accent4"/>
      <a:schemeClr val="accent5"/>
    </dgm:linClrLst>
    <dgm:effectClrLst/>
    <dgm:txLinClrLst/>
    <dgm:txFillClrLst/>
    <dgm:txEffectClrLst/>
  </dgm:styleLbl>
  <dgm:styleLbl name="ln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4">
        <a:alpha val="50000"/>
      </a:schemeClr>
      <a:schemeClr val="accent5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4">
        <a:tint val="50000"/>
      </a:schemeClr>
      <a:schemeClr val="accent5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4"/>
      <a:schemeClr val="accent5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4"/>
    </dgm:fillClrLst>
    <dgm:linClrLst meth="repeat">
      <a:schemeClr val="accent4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4"/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4">
        <a:tint val="9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4">
        <a:tint val="5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4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4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4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4">
        <a:tint val="50000"/>
        <a:alpha val="40000"/>
      </a:schemeClr>
    </dgm:fillClrLst>
    <dgm:linClrLst meth="repeat">
      <a:schemeClr val="accent4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4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colorful4">
  <dgm:title val=""/>
  <dgm:desc val=""/>
  <dgm:catLst>
    <dgm:cat type="colorful" pri="104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4"/>
      <a:schemeClr val="accent5"/>
    </dgm:fillClrLst>
    <dgm:linClrLst>
      <a:schemeClr val="accent4"/>
      <a:schemeClr val="accent5"/>
    </dgm:linClrLst>
    <dgm:effectClrLst/>
    <dgm:txLinClrLst/>
    <dgm:txFillClrLst/>
    <dgm:txEffectClrLst/>
  </dgm:styleLbl>
  <dgm:styleLbl name="ln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4">
        <a:alpha val="50000"/>
      </a:schemeClr>
      <a:schemeClr val="accent5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4">
        <a:tint val="50000"/>
      </a:schemeClr>
      <a:schemeClr val="accent5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4"/>
      <a:schemeClr val="accent5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4"/>
    </dgm:fillClrLst>
    <dgm:linClrLst meth="repeat">
      <a:schemeClr val="accent4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4"/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4">
        <a:tint val="9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4">
        <a:tint val="5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4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4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4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4">
        <a:tint val="50000"/>
        <a:alpha val="40000"/>
      </a:schemeClr>
    </dgm:fillClrLst>
    <dgm:linClrLst meth="repeat">
      <a:schemeClr val="accent4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4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CE95F70E-2D71-43A5-ADAC-A01E8C82F187}" type="doc">
      <dgm:prSet loTypeId="urn:microsoft.com/office/officeart/2005/8/layout/venn1" loCatId="relationship" qsTypeId="urn:microsoft.com/office/officeart/2005/8/quickstyle/simple5" qsCatId="simple" csTypeId="urn:microsoft.com/office/officeart/2005/8/colors/colorful4" csCatId="colorful" phldr="1"/>
      <dgm:spPr/>
    </dgm:pt>
    <dgm:pt modelId="{0A8795D3-5E06-45F1-B54F-7CD3EF0AA240}">
      <dgm:prSet phldrT="[Texto]" custT="1"/>
      <dgm:spPr/>
      <dgm:t>
        <a:bodyPr/>
        <a:lstStyle/>
        <a:p>
          <a:r>
            <a:rPr lang="es-MX" sz="1400"/>
            <a:t>$0-50</a:t>
          </a:r>
        </a:p>
        <a:p>
          <a:endParaRPr lang="es-MX" sz="3200"/>
        </a:p>
      </dgm:t>
    </dgm:pt>
    <dgm:pt modelId="{1E573101-48B5-4803-B01B-878DDC4B43F3}" type="parTrans" cxnId="{AE9329FA-A0C5-400B-84E5-A049BD787AE6}">
      <dgm:prSet/>
      <dgm:spPr/>
      <dgm:t>
        <a:bodyPr/>
        <a:lstStyle/>
        <a:p>
          <a:endParaRPr lang="es-MX"/>
        </a:p>
      </dgm:t>
    </dgm:pt>
    <dgm:pt modelId="{D6A1F429-9107-456C-902B-08773823EEA4}" type="sibTrans" cxnId="{AE9329FA-A0C5-400B-84E5-A049BD787AE6}">
      <dgm:prSet/>
      <dgm:spPr/>
      <dgm:t>
        <a:bodyPr/>
        <a:lstStyle/>
        <a:p>
          <a:endParaRPr lang="es-MX"/>
        </a:p>
      </dgm:t>
    </dgm:pt>
    <dgm:pt modelId="{595ECDA8-2B34-49F8-A91F-6C083A24A017}">
      <dgm:prSet phldrT="[Texto]" custT="1"/>
      <dgm:spPr/>
      <dgm:t>
        <a:bodyPr/>
        <a:lstStyle/>
        <a:p>
          <a:r>
            <a:rPr lang="es-MX" sz="1400"/>
            <a:t>+$100</a:t>
          </a:r>
        </a:p>
      </dgm:t>
    </dgm:pt>
    <dgm:pt modelId="{39FC4424-ED74-4F30-85B3-28D8B2C062FF}" type="parTrans" cxnId="{45C6A8D6-2E45-485C-877E-81E68E03FBA3}">
      <dgm:prSet/>
      <dgm:spPr/>
      <dgm:t>
        <a:bodyPr/>
        <a:lstStyle/>
        <a:p>
          <a:endParaRPr lang="es-MX"/>
        </a:p>
      </dgm:t>
    </dgm:pt>
    <dgm:pt modelId="{958C1E65-A1A7-47EC-8B2B-01B63CB6E1B2}" type="sibTrans" cxnId="{45C6A8D6-2E45-485C-877E-81E68E03FBA3}">
      <dgm:prSet/>
      <dgm:spPr/>
      <dgm:t>
        <a:bodyPr/>
        <a:lstStyle/>
        <a:p>
          <a:endParaRPr lang="es-MX"/>
        </a:p>
      </dgm:t>
    </dgm:pt>
    <dgm:pt modelId="{EF4454EE-6846-423E-80D9-4D94E4C2484C}">
      <dgm:prSet phldrT="[Texto]" custT="1"/>
      <dgm:spPr/>
      <dgm:t>
        <a:bodyPr/>
        <a:lstStyle/>
        <a:p>
          <a:r>
            <a:rPr lang="es-MX" sz="1400"/>
            <a:t>$51-100</a:t>
          </a:r>
        </a:p>
      </dgm:t>
    </dgm:pt>
    <dgm:pt modelId="{EFA3586E-A295-4CF1-84F9-A7F452E977DA}" type="parTrans" cxnId="{FD614DAF-7C34-46CE-BAB3-78037E7DEB76}">
      <dgm:prSet/>
      <dgm:spPr/>
      <dgm:t>
        <a:bodyPr/>
        <a:lstStyle/>
        <a:p>
          <a:endParaRPr lang="es-MX"/>
        </a:p>
      </dgm:t>
    </dgm:pt>
    <dgm:pt modelId="{E298323F-4494-46DF-B57B-4B244D151D0A}" type="sibTrans" cxnId="{FD614DAF-7C34-46CE-BAB3-78037E7DEB76}">
      <dgm:prSet/>
      <dgm:spPr/>
      <dgm:t>
        <a:bodyPr/>
        <a:lstStyle/>
        <a:p>
          <a:endParaRPr lang="es-MX"/>
        </a:p>
      </dgm:t>
    </dgm:pt>
    <dgm:pt modelId="{AC35A353-1939-4C7B-A77E-C78A030F7FD0}" type="pres">
      <dgm:prSet presAssocID="{CE95F70E-2D71-43A5-ADAC-A01E8C82F187}" presName="compositeShape" presStyleCnt="0">
        <dgm:presLayoutVars>
          <dgm:chMax val="7"/>
          <dgm:dir/>
          <dgm:resizeHandles val="exact"/>
        </dgm:presLayoutVars>
      </dgm:prSet>
      <dgm:spPr/>
    </dgm:pt>
    <dgm:pt modelId="{E8056B37-3311-4335-A3A7-A09C9174CE9A}" type="pres">
      <dgm:prSet presAssocID="{0A8795D3-5E06-45F1-B54F-7CD3EF0AA240}" presName="circ1" presStyleLbl="vennNode1" presStyleIdx="0" presStyleCnt="3"/>
      <dgm:spPr/>
    </dgm:pt>
    <dgm:pt modelId="{8E0E89F7-A2C2-4597-8EF7-D34E84A539AB}" type="pres">
      <dgm:prSet presAssocID="{0A8795D3-5E06-45F1-B54F-7CD3EF0AA240}" presName="circ1Tx" presStyleLbl="revTx" presStyleIdx="0" presStyleCnt="0">
        <dgm:presLayoutVars>
          <dgm:chMax val="0"/>
          <dgm:chPref val="0"/>
          <dgm:bulletEnabled val="1"/>
        </dgm:presLayoutVars>
      </dgm:prSet>
      <dgm:spPr/>
    </dgm:pt>
    <dgm:pt modelId="{CAAEFD85-FCD5-4B41-9272-F30A2950CCB0}" type="pres">
      <dgm:prSet presAssocID="{595ECDA8-2B34-49F8-A91F-6C083A24A017}" presName="circ2" presStyleLbl="vennNode1" presStyleIdx="1" presStyleCnt="3" custLinFactNeighborX="835"/>
      <dgm:spPr/>
    </dgm:pt>
    <dgm:pt modelId="{96F3FA63-135E-479C-BCD5-7C09F6E03A57}" type="pres">
      <dgm:prSet presAssocID="{595ECDA8-2B34-49F8-A91F-6C083A24A017}" presName="circ2Tx" presStyleLbl="revTx" presStyleIdx="0" presStyleCnt="0">
        <dgm:presLayoutVars>
          <dgm:chMax val="0"/>
          <dgm:chPref val="0"/>
          <dgm:bulletEnabled val="1"/>
        </dgm:presLayoutVars>
      </dgm:prSet>
      <dgm:spPr/>
    </dgm:pt>
    <dgm:pt modelId="{E9A35085-2979-49A9-B182-E59B31992769}" type="pres">
      <dgm:prSet presAssocID="{EF4454EE-6846-423E-80D9-4D94E4C2484C}" presName="circ3" presStyleLbl="vennNode1" presStyleIdx="2" presStyleCnt="3"/>
      <dgm:spPr/>
    </dgm:pt>
    <dgm:pt modelId="{B249F6FD-C91B-438F-85AE-341085407218}" type="pres">
      <dgm:prSet presAssocID="{EF4454EE-6846-423E-80D9-4D94E4C2484C}" presName="circ3Tx" presStyleLbl="revTx" presStyleIdx="0" presStyleCnt="0">
        <dgm:presLayoutVars>
          <dgm:chMax val="0"/>
          <dgm:chPref val="0"/>
          <dgm:bulletEnabled val="1"/>
        </dgm:presLayoutVars>
      </dgm:prSet>
      <dgm:spPr/>
    </dgm:pt>
  </dgm:ptLst>
  <dgm:cxnLst>
    <dgm:cxn modelId="{EC4ACD09-31D1-4AC8-B950-4D65B1581825}" type="presOf" srcId="{EF4454EE-6846-423E-80D9-4D94E4C2484C}" destId="{E9A35085-2979-49A9-B182-E59B31992769}" srcOrd="0" destOrd="0" presId="urn:microsoft.com/office/officeart/2005/8/layout/venn1"/>
    <dgm:cxn modelId="{B6FAAC1E-2785-4052-9D14-4C16435388F7}" type="presOf" srcId="{0A8795D3-5E06-45F1-B54F-7CD3EF0AA240}" destId="{E8056B37-3311-4335-A3A7-A09C9174CE9A}" srcOrd="0" destOrd="0" presId="urn:microsoft.com/office/officeart/2005/8/layout/venn1"/>
    <dgm:cxn modelId="{97A5C346-26CE-4E3D-BA90-1B52534D6C81}" type="presOf" srcId="{CE95F70E-2D71-43A5-ADAC-A01E8C82F187}" destId="{AC35A353-1939-4C7B-A77E-C78A030F7FD0}" srcOrd="0" destOrd="0" presId="urn:microsoft.com/office/officeart/2005/8/layout/venn1"/>
    <dgm:cxn modelId="{C1F8416B-BDB2-4512-80C0-D05373662945}" type="presOf" srcId="{595ECDA8-2B34-49F8-A91F-6C083A24A017}" destId="{96F3FA63-135E-479C-BCD5-7C09F6E03A57}" srcOrd="1" destOrd="0" presId="urn:microsoft.com/office/officeart/2005/8/layout/venn1"/>
    <dgm:cxn modelId="{3F340956-B92E-40E9-B04A-298467929F90}" type="presOf" srcId="{0A8795D3-5E06-45F1-B54F-7CD3EF0AA240}" destId="{8E0E89F7-A2C2-4597-8EF7-D34E84A539AB}" srcOrd="1" destOrd="0" presId="urn:microsoft.com/office/officeart/2005/8/layout/venn1"/>
    <dgm:cxn modelId="{FD614DAF-7C34-46CE-BAB3-78037E7DEB76}" srcId="{CE95F70E-2D71-43A5-ADAC-A01E8C82F187}" destId="{EF4454EE-6846-423E-80D9-4D94E4C2484C}" srcOrd="2" destOrd="0" parTransId="{EFA3586E-A295-4CF1-84F9-A7F452E977DA}" sibTransId="{E298323F-4494-46DF-B57B-4B244D151D0A}"/>
    <dgm:cxn modelId="{A65CC0C3-444F-40DF-B767-E9D0113079B3}" type="presOf" srcId="{EF4454EE-6846-423E-80D9-4D94E4C2484C}" destId="{B249F6FD-C91B-438F-85AE-341085407218}" srcOrd="1" destOrd="0" presId="urn:microsoft.com/office/officeart/2005/8/layout/venn1"/>
    <dgm:cxn modelId="{45C6A8D6-2E45-485C-877E-81E68E03FBA3}" srcId="{CE95F70E-2D71-43A5-ADAC-A01E8C82F187}" destId="{595ECDA8-2B34-49F8-A91F-6C083A24A017}" srcOrd="1" destOrd="0" parTransId="{39FC4424-ED74-4F30-85B3-28D8B2C062FF}" sibTransId="{958C1E65-A1A7-47EC-8B2B-01B63CB6E1B2}"/>
    <dgm:cxn modelId="{B3124DE8-2987-47F6-A021-5206106C7344}" type="presOf" srcId="{595ECDA8-2B34-49F8-A91F-6C083A24A017}" destId="{CAAEFD85-FCD5-4B41-9272-F30A2950CCB0}" srcOrd="0" destOrd="0" presId="urn:microsoft.com/office/officeart/2005/8/layout/venn1"/>
    <dgm:cxn modelId="{AE9329FA-A0C5-400B-84E5-A049BD787AE6}" srcId="{CE95F70E-2D71-43A5-ADAC-A01E8C82F187}" destId="{0A8795D3-5E06-45F1-B54F-7CD3EF0AA240}" srcOrd="0" destOrd="0" parTransId="{1E573101-48B5-4803-B01B-878DDC4B43F3}" sibTransId="{D6A1F429-9107-456C-902B-08773823EEA4}"/>
    <dgm:cxn modelId="{475A9A1A-54E6-4A63-9DE4-F45D2DF6CA38}" type="presParOf" srcId="{AC35A353-1939-4C7B-A77E-C78A030F7FD0}" destId="{E8056B37-3311-4335-A3A7-A09C9174CE9A}" srcOrd="0" destOrd="0" presId="urn:microsoft.com/office/officeart/2005/8/layout/venn1"/>
    <dgm:cxn modelId="{784690D8-54D4-491C-BD56-2FC0146CF2AD}" type="presParOf" srcId="{AC35A353-1939-4C7B-A77E-C78A030F7FD0}" destId="{8E0E89F7-A2C2-4597-8EF7-D34E84A539AB}" srcOrd="1" destOrd="0" presId="urn:microsoft.com/office/officeart/2005/8/layout/venn1"/>
    <dgm:cxn modelId="{A7411612-88FC-4279-9437-CE72BA617DEE}" type="presParOf" srcId="{AC35A353-1939-4C7B-A77E-C78A030F7FD0}" destId="{CAAEFD85-FCD5-4B41-9272-F30A2950CCB0}" srcOrd="2" destOrd="0" presId="urn:microsoft.com/office/officeart/2005/8/layout/venn1"/>
    <dgm:cxn modelId="{ECC68D06-19F0-40F8-907B-BB3A283FA9BC}" type="presParOf" srcId="{AC35A353-1939-4C7B-A77E-C78A030F7FD0}" destId="{96F3FA63-135E-479C-BCD5-7C09F6E03A57}" srcOrd="3" destOrd="0" presId="urn:microsoft.com/office/officeart/2005/8/layout/venn1"/>
    <dgm:cxn modelId="{7048A5BA-92D8-481D-A78B-4A3768E143EC}" type="presParOf" srcId="{AC35A353-1939-4C7B-A77E-C78A030F7FD0}" destId="{E9A35085-2979-49A9-B182-E59B31992769}" srcOrd="4" destOrd="0" presId="urn:microsoft.com/office/officeart/2005/8/layout/venn1"/>
    <dgm:cxn modelId="{CD59E5F9-2942-4AAB-AC07-1E7C06373D2B}" type="presParOf" srcId="{AC35A353-1939-4C7B-A77E-C78A030F7FD0}" destId="{B249F6FD-C91B-438F-85AE-341085407218}" srcOrd="5" destOrd="0" presId="urn:microsoft.com/office/officeart/2005/8/layout/venn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E95F70E-2D71-43A5-ADAC-A01E8C82F187}" type="doc">
      <dgm:prSet loTypeId="urn:microsoft.com/office/officeart/2005/8/layout/venn1" loCatId="relationship" qsTypeId="urn:microsoft.com/office/officeart/2005/8/quickstyle/simple5" qsCatId="simple" csTypeId="urn:microsoft.com/office/officeart/2005/8/colors/colorful4" csCatId="colorful" phldr="1"/>
      <dgm:spPr/>
    </dgm:pt>
    <dgm:pt modelId="{0A8795D3-5E06-45F1-B54F-7CD3EF0AA240}">
      <dgm:prSet phldrT="[Texto]" custT="1"/>
      <dgm:spPr/>
      <dgm:t>
        <a:bodyPr/>
        <a:lstStyle/>
        <a:p>
          <a:r>
            <a:rPr lang="es-MX" sz="1200"/>
            <a:t>Josue Isaac Moreno Lòpez</a:t>
          </a:r>
        </a:p>
      </dgm:t>
    </dgm:pt>
    <dgm:pt modelId="{1E573101-48B5-4803-B01B-878DDC4B43F3}" type="parTrans" cxnId="{AE9329FA-A0C5-400B-84E5-A049BD787AE6}">
      <dgm:prSet/>
      <dgm:spPr/>
      <dgm:t>
        <a:bodyPr/>
        <a:lstStyle/>
        <a:p>
          <a:endParaRPr lang="es-MX"/>
        </a:p>
      </dgm:t>
    </dgm:pt>
    <dgm:pt modelId="{D6A1F429-9107-456C-902B-08773823EEA4}" type="sibTrans" cxnId="{AE9329FA-A0C5-400B-84E5-A049BD787AE6}">
      <dgm:prSet/>
      <dgm:spPr/>
      <dgm:t>
        <a:bodyPr/>
        <a:lstStyle/>
        <a:p>
          <a:endParaRPr lang="es-MX"/>
        </a:p>
      </dgm:t>
    </dgm:pt>
    <dgm:pt modelId="{595ECDA8-2B34-49F8-A91F-6C083A24A017}">
      <dgm:prSet phldrT="[Texto]" custT="1"/>
      <dgm:spPr/>
      <dgm:t>
        <a:bodyPr/>
        <a:lstStyle/>
        <a:p>
          <a:r>
            <a:rPr lang="es-MX" sz="1200"/>
            <a:t>Abraham de Jesus Pale Moshan </a:t>
          </a:r>
        </a:p>
      </dgm:t>
    </dgm:pt>
    <dgm:pt modelId="{39FC4424-ED74-4F30-85B3-28D8B2C062FF}" type="parTrans" cxnId="{45C6A8D6-2E45-485C-877E-81E68E03FBA3}">
      <dgm:prSet/>
      <dgm:spPr/>
      <dgm:t>
        <a:bodyPr/>
        <a:lstStyle/>
        <a:p>
          <a:endParaRPr lang="es-MX"/>
        </a:p>
      </dgm:t>
    </dgm:pt>
    <dgm:pt modelId="{958C1E65-A1A7-47EC-8B2B-01B63CB6E1B2}" type="sibTrans" cxnId="{45C6A8D6-2E45-485C-877E-81E68E03FBA3}">
      <dgm:prSet/>
      <dgm:spPr/>
      <dgm:t>
        <a:bodyPr/>
        <a:lstStyle/>
        <a:p>
          <a:endParaRPr lang="es-MX"/>
        </a:p>
      </dgm:t>
    </dgm:pt>
    <dgm:pt modelId="{EF4454EE-6846-423E-80D9-4D94E4C2484C}">
      <dgm:prSet phldrT="[Texto]" custT="1"/>
      <dgm:spPr/>
      <dgm:t>
        <a:bodyPr/>
        <a:lstStyle/>
        <a:p>
          <a:r>
            <a:rPr lang="es-MX" sz="1200"/>
            <a:t>Miguel Angel Pèrez Hernàndez</a:t>
          </a:r>
        </a:p>
      </dgm:t>
    </dgm:pt>
    <dgm:pt modelId="{EFA3586E-A295-4CF1-84F9-A7F452E977DA}" type="parTrans" cxnId="{FD614DAF-7C34-46CE-BAB3-78037E7DEB76}">
      <dgm:prSet/>
      <dgm:spPr/>
      <dgm:t>
        <a:bodyPr/>
        <a:lstStyle/>
        <a:p>
          <a:endParaRPr lang="es-MX"/>
        </a:p>
      </dgm:t>
    </dgm:pt>
    <dgm:pt modelId="{E298323F-4494-46DF-B57B-4B244D151D0A}" type="sibTrans" cxnId="{FD614DAF-7C34-46CE-BAB3-78037E7DEB76}">
      <dgm:prSet/>
      <dgm:spPr/>
      <dgm:t>
        <a:bodyPr/>
        <a:lstStyle/>
        <a:p>
          <a:endParaRPr lang="es-MX"/>
        </a:p>
      </dgm:t>
    </dgm:pt>
    <dgm:pt modelId="{B97127ED-C8D7-40F1-9240-C7BDECC06E5F}">
      <dgm:prSet custT="1"/>
      <dgm:spPr/>
      <dgm:t>
        <a:bodyPr/>
        <a:lstStyle/>
        <a:p>
          <a:r>
            <a:rPr lang="es-MX" sz="1200"/>
            <a:t>Mario Alberto Eulogio Gomez</a:t>
          </a:r>
        </a:p>
      </dgm:t>
    </dgm:pt>
    <dgm:pt modelId="{EA33C69E-F092-4D13-9FFC-6C2F3E136D00}" type="parTrans" cxnId="{2A9EC721-F620-4E1E-B98F-D9743823468D}">
      <dgm:prSet/>
      <dgm:spPr/>
      <dgm:t>
        <a:bodyPr/>
        <a:lstStyle/>
        <a:p>
          <a:endParaRPr lang="es-MX"/>
        </a:p>
      </dgm:t>
    </dgm:pt>
    <dgm:pt modelId="{D945701D-AFB2-4B66-B7A7-D03FF8608DB9}" type="sibTrans" cxnId="{2A9EC721-F620-4E1E-B98F-D9743823468D}">
      <dgm:prSet/>
      <dgm:spPr/>
      <dgm:t>
        <a:bodyPr/>
        <a:lstStyle/>
        <a:p>
          <a:endParaRPr lang="es-MX"/>
        </a:p>
      </dgm:t>
    </dgm:pt>
    <dgm:pt modelId="{B5C0AE58-8DFF-45C3-9DB0-648C94981EB7}">
      <dgm:prSet custT="1"/>
      <dgm:spPr/>
      <dgm:t>
        <a:bodyPr/>
        <a:lstStyle/>
        <a:p>
          <a:r>
            <a:rPr lang="es-MX" sz="1200"/>
            <a:t>Francisco Oropeza Camacho</a:t>
          </a:r>
        </a:p>
      </dgm:t>
    </dgm:pt>
    <dgm:pt modelId="{F898DC62-5142-473B-A3DD-84BE147D6F4E}" type="parTrans" cxnId="{C12B734B-6540-4E08-95C4-FA1905CB7C73}">
      <dgm:prSet/>
      <dgm:spPr/>
      <dgm:t>
        <a:bodyPr/>
        <a:lstStyle/>
        <a:p>
          <a:endParaRPr lang="es-MX"/>
        </a:p>
      </dgm:t>
    </dgm:pt>
    <dgm:pt modelId="{82A2F3CA-64C1-4A2A-A6FB-5CF29CF13AC4}" type="sibTrans" cxnId="{C12B734B-6540-4E08-95C4-FA1905CB7C73}">
      <dgm:prSet/>
      <dgm:spPr/>
      <dgm:t>
        <a:bodyPr/>
        <a:lstStyle/>
        <a:p>
          <a:endParaRPr lang="es-MX"/>
        </a:p>
      </dgm:t>
    </dgm:pt>
    <dgm:pt modelId="{0CE38AB2-307F-4BC0-A36E-49040BF96F85}">
      <dgm:prSet custT="1"/>
      <dgm:spPr/>
      <dgm:t>
        <a:bodyPr/>
        <a:lstStyle/>
        <a:p>
          <a:r>
            <a:rPr lang="es-MX" sz="1200"/>
            <a:t>Jose Angel Gòmez Lòpez</a:t>
          </a:r>
        </a:p>
      </dgm:t>
    </dgm:pt>
    <dgm:pt modelId="{F726E465-CE76-4F09-A1C6-2A9494CA6DF1}" type="parTrans" cxnId="{9B3EEB07-7532-45AE-A38D-84DE35F51E61}">
      <dgm:prSet/>
      <dgm:spPr/>
      <dgm:t>
        <a:bodyPr/>
        <a:lstStyle/>
        <a:p>
          <a:endParaRPr lang="es-MX"/>
        </a:p>
      </dgm:t>
    </dgm:pt>
    <dgm:pt modelId="{6F8DC90F-A678-4D3B-82B2-6D04525947D1}" type="sibTrans" cxnId="{9B3EEB07-7532-45AE-A38D-84DE35F51E61}">
      <dgm:prSet/>
      <dgm:spPr/>
      <dgm:t>
        <a:bodyPr/>
        <a:lstStyle/>
        <a:p>
          <a:endParaRPr lang="es-MX"/>
        </a:p>
      </dgm:t>
    </dgm:pt>
    <dgm:pt modelId="{AC35A353-1939-4C7B-A77E-C78A030F7FD0}" type="pres">
      <dgm:prSet presAssocID="{CE95F70E-2D71-43A5-ADAC-A01E8C82F187}" presName="compositeShape" presStyleCnt="0">
        <dgm:presLayoutVars>
          <dgm:chMax val="7"/>
          <dgm:dir/>
          <dgm:resizeHandles val="exact"/>
        </dgm:presLayoutVars>
      </dgm:prSet>
      <dgm:spPr/>
    </dgm:pt>
    <dgm:pt modelId="{E8056B37-3311-4335-A3A7-A09C9174CE9A}" type="pres">
      <dgm:prSet presAssocID="{0A8795D3-5E06-45F1-B54F-7CD3EF0AA240}" presName="circ1" presStyleLbl="vennNode1" presStyleIdx="0" presStyleCnt="6"/>
      <dgm:spPr/>
    </dgm:pt>
    <dgm:pt modelId="{8E0E89F7-A2C2-4597-8EF7-D34E84A539AB}" type="pres">
      <dgm:prSet presAssocID="{0A8795D3-5E06-45F1-B54F-7CD3EF0AA240}" presName="circ1Tx" presStyleLbl="revTx" presStyleIdx="0" presStyleCnt="0">
        <dgm:presLayoutVars>
          <dgm:chMax val="0"/>
          <dgm:chPref val="0"/>
          <dgm:bulletEnabled val="1"/>
        </dgm:presLayoutVars>
      </dgm:prSet>
      <dgm:spPr/>
    </dgm:pt>
    <dgm:pt modelId="{98B17275-D85E-470A-A8B7-AE42331991B9}" type="pres">
      <dgm:prSet presAssocID="{0CE38AB2-307F-4BC0-A36E-49040BF96F85}" presName="circ2" presStyleLbl="vennNode1" presStyleIdx="1" presStyleCnt="6"/>
      <dgm:spPr/>
    </dgm:pt>
    <dgm:pt modelId="{A5CD08AA-C3DF-45FC-9148-79EBB4327FDB}" type="pres">
      <dgm:prSet presAssocID="{0CE38AB2-307F-4BC0-A36E-49040BF96F85}" presName="circ2Tx" presStyleLbl="revTx" presStyleIdx="0" presStyleCnt="0">
        <dgm:presLayoutVars>
          <dgm:chMax val="0"/>
          <dgm:chPref val="0"/>
          <dgm:bulletEnabled val="1"/>
        </dgm:presLayoutVars>
      </dgm:prSet>
      <dgm:spPr/>
    </dgm:pt>
    <dgm:pt modelId="{3529ED35-6864-45CD-A45D-8CC2107CCC7C}" type="pres">
      <dgm:prSet presAssocID="{B5C0AE58-8DFF-45C3-9DB0-648C94981EB7}" presName="circ3" presStyleLbl="vennNode1" presStyleIdx="2" presStyleCnt="6"/>
      <dgm:spPr/>
    </dgm:pt>
    <dgm:pt modelId="{F22128CE-252F-466B-AE34-5A629653B970}" type="pres">
      <dgm:prSet presAssocID="{B5C0AE58-8DFF-45C3-9DB0-648C94981EB7}" presName="circ3Tx" presStyleLbl="revTx" presStyleIdx="0" presStyleCnt="0">
        <dgm:presLayoutVars>
          <dgm:chMax val="0"/>
          <dgm:chPref val="0"/>
          <dgm:bulletEnabled val="1"/>
        </dgm:presLayoutVars>
      </dgm:prSet>
      <dgm:spPr/>
    </dgm:pt>
    <dgm:pt modelId="{3D6A2160-ABED-4E1B-910C-730A5560B775}" type="pres">
      <dgm:prSet presAssocID="{595ECDA8-2B34-49F8-A91F-6C083A24A017}" presName="circ4" presStyleLbl="vennNode1" presStyleIdx="3" presStyleCnt="6"/>
      <dgm:spPr/>
    </dgm:pt>
    <dgm:pt modelId="{B247E71B-011E-49FE-8689-F80B3CCDEA7A}" type="pres">
      <dgm:prSet presAssocID="{595ECDA8-2B34-49F8-A91F-6C083A24A017}" presName="circ4Tx" presStyleLbl="revTx" presStyleIdx="0" presStyleCnt="0">
        <dgm:presLayoutVars>
          <dgm:chMax val="0"/>
          <dgm:chPref val="0"/>
          <dgm:bulletEnabled val="1"/>
        </dgm:presLayoutVars>
      </dgm:prSet>
      <dgm:spPr/>
    </dgm:pt>
    <dgm:pt modelId="{0E8FF443-F802-453F-86DF-09795E1EDFE1}" type="pres">
      <dgm:prSet presAssocID="{B97127ED-C8D7-40F1-9240-C7BDECC06E5F}" presName="circ5" presStyleLbl="vennNode1" presStyleIdx="4" presStyleCnt="6"/>
      <dgm:spPr/>
    </dgm:pt>
    <dgm:pt modelId="{9C1AB4AE-6F74-4E12-BCD3-E4FCE4B94A7A}" type="pres">
      <dgm:prSet presAssocID="{B97127ED-C8D7-40F1-9240-C7BDECC06E5F}" presName="circ5Tx" presStyleLbl="revTx" presStyleIdx="0" presStyleCnt="0">
        <dgm:presLayoutVars>
          <dgm:chMax val="0"/>
          <dgm:chPref val="0"/>
          <dgm:bulletEnabled val="1"/>
        </dgm:presLayoutVars>
      </dgm:prSet>
      <dgm:spPr/>
    </dgm:pt>
    <dgm:pt modelId="{2CC35F0A-E2F9-4FAE-943F-7A018E5AF2A5}" type="pres">
      <dgm:prSet presAssocID="{EF4454EE-6846-423E-80D9-4D94E4C2484C}" presName="circ6" presStyleLbl="vennNode1" presStyleIdx="5" presStyleCnt="6"/>
      <dgm:spPr/>
    </dgm:pt>
    <dgm:pt modelId="{F6E8F75B-5D6A-45F6-9454-3545C08E5F0A}" type="pres">
      <dgm:prSet presAssocID="{EF4454EE-6846-423E-80D9-4D94E4C2484C}" presName="circ6Tx" presStyleLbl="revTx" presStyleIdx="0" presStyleCnt="0">
        <dgm:presLayoutVars>
          <dgm:chMax val="0"/>
          <dgm:chPref val="0"/>
          <dgm:bulletEnabled val="1"/>
        </dgm:presLayoutVars>
      </dgm:prSet>
      <dgm:spPr/>
    </dgm:pt>
  </dgm:ptLst>
  <dgm:cxnLst>
    <dgm:cxn modelId="{9B3EEB07-7532-45AE-A38D-84DE35F51E61}" srcId="{CE95F70E-2D71-43A5-ADAC-A01E8C82F187}" destId="{0CE38AB2-307F-4BC0-A36E-49040BF96F85}" srcOrd="1" destOrd="0" parTransId="{F726E465-CE76-4F09-A1C6-2A9494CA6DF1}" sibTransId="{6F8DC90F-A678-4D3B-82B2-6D04525947D1}"/>
    <dgm:cxn modelId="{2A9EC721-F620-4E1E-B98F-D9743823468D}" srcId="{CE95F70E-2D71-43A5-ADAC-A01E8C82F187}" destId="{B97127ED-C8D7-40F1-9240-C7BDECC06E5F}" srcOrd="4" destOrd="0" parTransId="{EA33C69E-F092-4D13-9FFC-6C2F3E136D00}" sibTransId="{D945701D-AFB2-4B66-B7A7-D03FF8608DB9}"/>
    <dgm:cxn modelId="{7B443E61-DF40-4910-A653-A76D341BEEC9}" type="presOf" srcId="{B5C0AE58-8DFF-45C3-9DB0-648C94981EB7}" destId="{F22128CE-252F-466B-AE34-5A629653B970}" srcOrd="0" destOrd="0" presId="urn:microsoft.com/office/officeart/2005/8/layout/venn1"/>
    <dgm:cxn modelId="{97A5C346-26CE-4E3D-BA90-1B52534D6C81}" type="presOf" srcId="{CE95F70E-2D71-43A5-ADAC-A01E8C82F187}" destId="{AC35A353-1939-4C7B-A77E-C78A030F7FD0}" srcOrd="0" destOrd="0" presId="urn:microsoft.com/office/officeart/2005/8/layout/venn1"/>
    <dgm:cxn modelId="{C12B734B-6540-4E08-95C4-FA1905CB7C73}" srcId="{CE95F70E-2D71-43A5-ADAC-A01E8C82F187}" destId="{B5C0AE58-8DFF-45C3-9DB0-648C94981EB7}" srcOrd="2" destOrd="0" parTransId="{F898DC62-5142-473B-A3DD-84BE147D6F4E}" sibTransId="{82A2F3CA-64C1-4A2A-A6FB-5CF29CF13AC4}"/>
    <dgm:cxn modelId="{3CD2E14E-F770-468D-B04F-AE9C253C0CE2}" type="presOf" srcId="{B97127ED-C8D7-40F1-9240-C7BDECC06E5F}" destId="{9C1AB4AE-6F74-4E12-BCD3-E4FCE4B94A7A}" srcOrd="0" destOrd="0" presId="urn:microsoft.com/office/officeart/2005/8/layout/venn1"/>
    <dgm:cxn modelId="{D6D23074-327F-46CD-9B08-D93606192DF6}" type="presOf" srcId="{0CE38AB2-307F-4BC0-A36E-49040BF96F85}" destId="{A5CD08AA-C3DF-45FC-9148-79EBB4327FDB}" srcOrd="0" destOrd="0" presId="urn:microsoft.com/office/officeart/2005/8/layout/venn1"/>
    <dgm:cxn modelId="{3F340956-B92E-40E9-B04A-298467929F90}" type="presOf" srcId="{0A8795D3-5E06-45F1-B54F-7CD3EF0AA240}" destId="{8E0E89F7-A2C2-4597-8EF7-D34E84A539AB}" srcOrd="0" destOrd="0" presId="urn:microsoft.com/office/officeart/2005/8/layout/venn1"/>
    <dgm:cxn modelId="{371F6C87-35DE-491C-A0BB-CA00E0AA6915}" type="presOf" srcId="{595ECDA8-2B34-49F8-A91F-6C083A24A017}" destId="{B247E71B-011E-49FE-8689-F80B3CCDEA7A}" srcOrd="0" destOrd="0" presId="urn:microsoft.com/office/officeart/2005/8/layout/venn1"/>
    <dgm:cxn modelId="{FD614DAF-7C34-46CE-BAB3-78037E7DEB76}" srcId="{CE95F70E-2D71-43A5-ADAC-A01E8C82F187}" destId="{EF4454EE-6846-423E-80D9-4D94E4C2484C}" srcOrd="5" destOrd="0" parTransId="{EFA3586E-A295-4CF1-84F9-A7F452E977DA}" sibTransId="{E298323F-4494-46DF-B57B-4B244D151D0A}"/>
    <dgm:cxn modelId="{45C6A8D6-2E45-485C-877E-81E68E03FBA3}" srcId="{CE95F70E-2D71-43A5-ADAC-A01E8C82F187}" destId="{595ECDA8-2B34-49F8-A91F-6C083A24A017}" srcOrd="3" destOrd="0" parTransId="{39FC4424-ED74-4F30-85B3-28D8B2C062FF}" sibTransId="{958C1E65-A1A7-47EC-8B2B-01B63CB6E1B2}"/>
    <dgm:cxn modelId="{9D49B0D8-365E-4651-90BB-50D8A609A4EE}" type="presOf" srcId="{EF4454EE-6846-423E-80D9-4D94E4C2484C}" destId="{F6E8F75B-5D6A-45F6-9454-3545C08E5F0A}" srcOrd="0" destOrd="0" presId="urn:microsoft.com/office/officeart/2005/8/layout/venn1"/>
    <dgm:cxn modelId="{AE9329FA-A0C5-400B-84E5-A049BD787AE6}" srcId="{CE95F70E-2D71-43A5-ADAC-A01E8C82F187}" destId="{0A8795D3-5E06-45F1-B54F-7CD3EF0AA240}" srcOrd="0" destOrd="0" parTransId="{1E573101-48B5-4803-B01B-878DDC4B43F3}" sibTransId="{D6A1F429-9107-456C-902B-08773823EEA4}"/>
    <dgm:cxn modelId="{475A9A1A-54E6-4A63-9DE4-F45D2DF6CA38}" type="presParOf" srcId="{AC35A353-1939-4C7B-A77E-C78A030F7FD0}" destId="{E8056B37-3311-4335-A3A7-A09C9174CE9A}" srcOrd="0" destOrd="0" presId="urn:microsoft.com/office/officeart/2005/8/layout/venn1"/>
    <dgm:cxn modelId="{784690D8-54D4-491C-BD56-2FC0146CF2AD}" type="presParOf" srcId="{AC35A353-1939-4C7B-A77E-C78A030F7FD0}" destId="{8E0E89F7-A2C2-4597-8EF7-D34E84A539AB}" srcOrd="1" destOrd="0" presId="urn:microsoft.com/office/officeart/2005/8/layout/venn1"/>
    <dgm:cxn modelId="{22103B96-AB34-4BA8-BBFD-41904266D69A}" type="presParOf" srcId="{AC35A353-1939-4C7B-A77E-C78A030F7FD0}" destId="{98B17275-D85E-470A-A8B7-AE42331991B9}" srcOrd="2" destOrd="0" presId="urn:microsoft.com/office/officeart/2005/8/layout/venn1"/>
    <dgm:cxn modelId="{72E3E3FC-88D1-44A5-BD1A-DC159FD1249B}" type="presParOf" srcId="{AC35A353-1939-4C7B-A77E-C78A030F7FD0}" destId="{A5CD08AA-C3DF-45FC-9148-79EBB4327FDB}" srcOrd="3" destOrd="0" presId="urn:microsoft.com/office/officeart/2005/8/layout/venn1"/>
    <dgm:cxn modelId="{1D0DA657-6688-4577-BE69-3B189AA21141}" type="presParOf" srcId="{AC35A353-1939-4C7B-A77E-C78A030F7FD0}" destId="{3529ED35-6864-45CD-A45D-8CC2107CCC7C}" srcOrd="4" destOrd="0" presId="urn:microsoft.com/office/officeart/2005/8/layout/venn1"/>
    <dgm:cxn modelId="{6F9939CF-339F-46AF-8720-8538D09E484A}" type="presParOf" srcId="{AC35A353-1939-4C7B-A77E-C78A030F7FD0}" destId="{F22128CE-252F-466B-AE34-5A629653B970}" srcOrd="5" destOrd="0" presId="urn:microsoft.com/office/officeart/2005/8/layout/venn1"/>
    <dgm:cxn modelId="{A2A444F8-8330-486B-B594-F9570A841C90}" type="presParOf" srcId="{AC35A353-1939-4C7B-A77E-C78A030F7FD0}" destId="{3D6A2160-ABED-4E1B-910C-730A5560B775}" srcOrd="6" destOrd="0" presId="urn:microsoft.com/office/officeart/2005/8/layout/venn1"/>
    <dgm:cxn modelId="{7F3B3087-54B4-4F6C-9DC4-65EC221A0B22}" type="presParOf" srcId="{AC35A353-1939-4C7B-A77E-C78A030F7FD0}" destId="{B247E71B-011E-49FE-8689-F80B3CCDEA7A}" srcOrd="7" destOrd="0" presId="urn:microsoft.com/office/officeart/2005/8/layout/venn1"/>
    <dgm:cxn modelId="{6A4FC386-8A3B-4313-B428-E679821FE219}" type="presParOf" srcId="{AC35A353-1939-4C7B-A77E-C78A030F7FD0}" destId="{0E8FF443-F802-453F-86DF-09795E1EDFE1}" srcOrd="8" destOrd="0" presId="urn:microsoft.com/office/officeart/2005/8/layout/venn1"/>
    <dgm:cxn modelId="{4F31D027-AE11-4EF5-BE2A-20B12A952670}" type="presParOf" srcId="{AC35A353-1939-4C7B-A77E-C78A030F7FD0}" destId="{9C1AB4AE-6F74-4E12-BCD3-E4FCE4B94A7A}" srcOrd="9" destOrd="0" presId="urn:microsoft.com/office/officeart/2005/8/layout/venn1"/>
    <dgm:cxn modelId="{0BE11AFA-513F-475F-80AA-D7910D7FE180}" type="presParOf" srcId="{AC35A353-1939-4C7B-A77E-C78A030F7FD0}" destId="{2CC35F0A-E2F9-4FAE-943F-7A018E5AF2A5}" srcOrd="10" destOrd="0" presId="urn:microsoft.com/office/officeart/2005/8/layout/venn1"/>
    <dgm:cxn modelId="{DEC32BCB-D56A-4758-B9AC-1E37375A2C29}" type="presParOf" srcId="{AC35A353-1939-4C7B-A77E-C78A030F7FD0}" destId="{F6E8F75B-5D6A-45F6-9454-3545C08E5F0A}" srcOrd="11" destOrd="0" presId="urn:microsoft.com/office/officeart/2005/8/layout/venn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EE7C0542-D811-43AF-9D95-1048FA7FC9F2}" type="doc">
      <dgm:prSet loTypeId="urn:microsoft.com/office/officeart/2005/8/layout/venn1" loCatId="relationship" qsTypeId="urn:microsoft.com/office/officeart/2005/8/quickstyle/simple5" qsCatId="simple" csTypeId="urn:microsoft.com/office/officeart/2005/8/colors/colorful4" csCatId="colorful" phldr="1"/>
      <dgm:spPr/>
    </dgm:pt>
    <dgm:pt modelId="{171CC9BA-E440-45BC-AC13-FA05E8F979FF}">
      <dgm:prSet phldrT="[Texto]"/>
      <dgm:spPr/>
      <dgm:t>
        <a:bodyPr/>
        <a:lstStyle/>
        <a:p>
          <a:r>
            <a:rPr lang="es-MX"/>
            <a:t>Febrero</a:t>
          </a:r>
        </a:p>
      </dgm:t>
    </dgm:pt>
    <dgm:pt modelId="{10040234-53BD-4537-9109-B021E5E0EB35}" type="parTrans" cxnId="{10E54A33-CA7F-46CB-8223-7E54B2140F4F}">
      <dgm:prSet/>
      <dgm:spPr/>
      <dgm:t>
        <a:bodyPr/>
        <a:lstStyle/>
        <a:p>
          <a:endParaRPr lang="es-MX"/>
        </a:p>
      </dgm:t>
    </dgm:pt>
    <dgm:pt modelId="{93C2FF3D-76BA-4853-8A56-79B0CEEAADE7}" type="sibTrans" cxnId="{10E54A33-CA7F-46CB-8223-7E54B2140F4F}">
      <dgm:prSet/>
      <dgm:spPr/>
      <dgm:t>
        <a:bodyPr/>
        <a:lstStyle/>
        <a:p>
          <a:endParaRPr lang="es-MX"/>
        </a:p>
      </dgm:t>
    </dgm:pt>
    <dgm:pt modelId="{51FF229A-334C-4B0E-A3FD-A84C3A944F79}">
      <dgm:prSet phldrT="[Texto]"/>
      <dgm:spPr/>
      <dgm:t>
        <a:bodyPr/>
        <a:lstStyle/>
        <a:p>
          <a:r>
            <a:rPr lang="es-MX"/>
            <a:t>Marzo</a:t>
          </a:r>
        </a:p>
      </dgm:t>
    </dgm:pt>
    <dgm:pt modelId="{6577E0B9-F18B-49C2-A31C-02716AB48B7E}" type="parTrans" cxnId="{5FD79754-4BA4-49F2-88EA-96C459F0EA08}">
      <dgm:prSet/>
      <dgm:spPr/>
      <dgm:t>
        <a:bodyPr/>
        <a:lstStyle/>
        <a:p>
          <a:endParaRPr lang="es-MX"/>
        </a:p>
      </dgm:t>
    </dgm:pt>
    <dgm:pt modelId="{D3490F2B-46FD-4ABA-B0EB-E5585B80B56E}" type="sibTrans" cxnId="{5FD79754-4BA4-49F2-88EA-96C459F0EA08}">
      <dgm:prSet/>
      <dgm:spPr/>
      <dgm:t>
        <a:bodyPr/>
        <a:lstStyle/>
        <a:p>
          <a:endParaRPr lang="es-MX"/>
        </a:p>
      </dgm:t>
    </dgm:pt>
    <dgm:pt modelId="{12B42EBF-E2CB-4D9E-AA7F-5C52B5C55669}">
      <dgm:prSet phldrT="[Texto]"/>
      <dgm:spPr/>
      <dgm:t>
        <a:bodyPr/>
        <a:lstStyle/>
        <a:p>
          <a:r>
            <a:rPr lang="es-MX"/>
            <a:t>Abril</a:t>
          </a:r>
        </a:p>
      </dgm:t>
    </dgm:pt>
    <dgm:pt modelId="{C94519BE-D41A-41A0-8B4D-87B610F57C08}" type="parTrans" cxnId="{12273F2C-049A-46BF-9ABB-3B4762D3330C}">
      <dgm:prSet/>
      <dgm:spPr/>
      <dgm:t>
        <a:bodyPr/>
        <a:lstStyle/>
        <a:p>
          <a:endParaRPr lang="es-MX"/>
        </a:p>
      </dgm:t>
    </dgm:pt>
    <dgm:pt modelId="{34DE8D83-FBFC-4B18-A557-ACB378859D2B}" type="sibTrans" cxnId="{12273F2C-049A-46BF-9ABB-3B4762D3330C}">
      <dgm:prSet/>
      <dgm:spPr/>
      <dgm:t>
        <a:bodyPr/>
        <a:lstStyle/>
        <a:p>
          <a:endParaRPr lang="es-MX"/>
        </a:p>
      </dgm:t>
    </dgm:pt>
    <dgm:pt modelId="{E4E1BB1F-D0FA-41FF-A4E7-153B0A5CCF0C}">
      <dgm:prSet phldrT="[Texto]"/>
      <dgm:spPr/>
      <dgm:t>
        <a:bodyPr/>
        <a:lstStyle/>
        <a:p>
          <a:r>
            <a:rPr lang="es-MX"/>
            <a:t>Mayo</a:t>
          </a:r>
        </a:p>
      </dgm:t>
    </dgm:pt>
    <dgm:pt modelId="{B5C05A2D-5C4F-4E8E-AF82-C8609D6B1D80}" type="parTrans" cxnId="{AB1C7D79-4B24-4895-ABC8-10BE05264519}">
      <dgm:prSet/>
      <dgm:spPr/>
      <dgm:t>
        <a:bodyPr/>
        <a:lstStyle/>
        <a:p>
          <a:endParaRPr lang="es-MX"/>
        </a:p>
      </dgm:t>
    </dgm:pt>
    <dgm:pt modelId="{12358344-B4A1-42DC-8F01-98CB94BB5D69}" type="sibTrans" cxnId="{AB1C7D79-4B24-4895-ABC8-10BE05264519}">
      <dgm:prSet/>
      <dgm:spPr/>
      <dgm:t>
        <a:bodyPr/>
        <a:lstStyle/>
        <a:p>
          <a:endParaRPr lang="es-MX"/>
        </a:p>
      </dgm:t>
    </dgm:pt>
    <dgm:pt modelId="{727EBA84-48CC-4CCD-A00E-5EA115D05074}" type="pres">
      <dgm:prSet presAssocID="{EE7C0542-D811-43AF-9D95-1048FA7FC9F2}" presName="compositeShape" presStyleCnt="0">
        <dgm:presLayoutVars>
          <dgm:chMax val="7"/>
          <dgm:dir/>
          <dgm:resizeHandles val="exact"/>
        </dgm:presLayoutVars>
      </dgm:prSet>
      <dgm:spPr/>
    </dgm:pt>
    <dgm:pt modelId="{178DF94B-2F74-43D3-AB9C-6989E76A939B}" type="pres">
      <dgm:prSet presAssocID="{171CC9BA-E440-45BC-AC13-FA05E8F979FF}" presName="circ1" presStyleLbl="vennNode1" presStyleIdx="0" presStyleCnt="4"/>
      <dgm:spPr/>
    </dgm:pt>
    <dgm:pt modelId="{D2462935-A040-4808-8C04-87851DA5F3DD}" type="pres">
      <dgm:prSet presAssocID="{171CC9BA-E440-45BC-AC13-FA05E8F979FF}" presName="circ1Tx" presStyleLbl="revTx" presStyleIdx="0" presStyleCnt="0">
        <dgm:presLayoutVars>
          <dgm:chMax val="0"/>
          <dgm:chPref val="0"/>
          <dgm:bulletEnabled val="1"/>
        </dgm:presLayoutVars>
      </dgm:prSet>
      <dgm:spPr/>
    </dgm:pt>
    <dgm:pt modelId="{8812F729-7F92-457B-9F65-815A2E1E6778}" type="pres">
      <dgm:prSet presAssocID="{51FF229A-334C-4B0E-A3FD-A84C3A944F79}" presName="circ2" presStyleLbl="vennNode1" presStyleIdx="1" presStyleCnt="4"/>
      <dgm:spPr/>
    </dgm:pt>
    <dgm:pt modelId="{96171328-A8FF-4EC4-A7A8-A76D323224B1}" type="pres">
      <dgm:prSet presAssocID="{51FF229A-334C-4B0E-A3FD-A84C3A944F79}" presName="circ2Tx" presStyleLbl="revTx" presStyleIdx="0" presStyleCnt="0">
        <dgm:presLayoutVars>
          <dgm:chMax val="0"/>
          <dgm:chPref val="0"/>
          <dgm:bulletEnabled val="1"/>
        </dgm:presLayoutVars>
      </dgm:prSet>
      <dgm:spPr/>
    </dgm:pt>
    <dgm:pt modelId="{EF9E67FD-2D44-40D6-81A3-DBCCA2066347}" type="pres">
      <dgm:prSet presAssocID="{12B42EBF-E2CB-4D9E-AA7F-5C52B5C55669}" presName="circ3" presStyleLbl="vennNode1" presStyleIdx="2" presStyleCnt="4"/>
      <dgm:spPr/>
    </dgm:pt>
    <dgm:pt modelId="{B3C66D71-AA46-40F6-82C3-869CE9F59F51}" type="pres">
      <dgm:prSet presAssocID="{12B42EBF-E2CB-4D9E-AA7F-5C52B5C55669}" presName="circ3Tx" presStyleLbl="revTx" presStyleIdx="0" presStyleCnt="0">
        <dgm:presLayoutVars>
          <dgm:chMax val="0"/>
          <dgm:chPref val="0"/>
          <dgm:bulletEnabled val="1"/>
        </dgm:presLayoutVars>
      </dgm:prSet>
      <dgm:spPr/>
    </dgm:pt>
    <dgm:pt modelId="{BA63C1C8-57BD-47DB-A3FD-BB45AF9D72CA}" type="pres">
      <dgm:prSet presAssocID="{E4E1BB1F-D0FA-41FF-A4E7-153B0A5CCF0C}" presName="circ4" presStyleLbl="vennNode1" presStyleIdx="3" presStyleCnt="4"/>
      <dgm:spPr/>
    </dgm:pt>
    <dgm:pt modelId="{DF97AB46-C7A8-44E7-8043-3FD02211782B}" type="pres">
      <dgm:prSet presAssocID="{E4E1BB1F-D0FA-41FF-A4E7-153B0A5CCF0C}" presName="circ4Tx" presStyleLbl="revTx" presStyleIdx="0" presStyleCnt="0">
        <dgm:presLayoutVars>
          <dgm:chMax val="0"/>
          <dgm:chPref val="0"/>
          <dgm:bulletEnabled val="1"/>
        </dgm:presLayoutVars>
      </dgm:prSet>
      <dgm:spPr/>
    </dgm:pt>
  </dgm:ptLst>
  <dgm:cxnLst>
    <dgm:cxn modelId="{A1A8BD22-9E49-4B18-B904-4D84DCCA9A4A}" type="presOf" srcId="{171CC9BA-E440-45BC-AC13-FA05E8F979FF}" destId="{178DF94B-2F74-43D3-AB9C-6989E76A939B}" srcOrd="0" destOrd="0" presId="urn:microsoft.com/office/officeart/2005/8/layout/venn1"/>
    <dgm:cxn modelId="{12273F2C-049A-46BF-9ABB-3B4762D3330C}" srcId="{EE7C0542-D811-43AF-9D95-1048FA7FC9F2}" destId="{12B42EBF-E2CB-4D9E-AA7F-5C52B5C55669}" srcOrd="2" destOrd="0" parTransId="{C94519BE-D41A-41A0-8B4D-87B610F57C08}" sibTransId="{34DE8D83-FBFC-4B18-A557-ACB378859D2B}"/>
    <dgm:cxn modelId="{10E54A33-CA7F-46CB-8223-7E54B2140F4F}" srcId="{EE7C0542-D811-43AF-9D95-1048FA7FC9F2}" destId="{171CC9BA-E440-45BC-AC13-FA05E8F979FF}" srcOrd="0" destOrd="0" parTransId="{10040234-53BD-4537-9109-B021E5E0EB35}" sibTransId="{93C2FF3D-76BA-4853-8A56-79B0CEEAADE7}"/>
    <dgm:cxn modelId="{C22D1F45-278D-4D2B-A7F5-B1CEC35D85D8}" type="presOf" srcId="{12B42EBF-E2CB-4D9E-AA7F-5C52B5C55669}" destId="{B3C66D71-AA46-40F6-82C3-869CE9F59F51}" srcOrd="1" destOrd="0" presId="urn:microsoft.com/office/officeart/2005/8/layout/venn1"/>
    <dgm:cxn modelId="{95CF806F-521C-4604-B71A-ACD5969677E7}" type="presOf" srcId="{51FF229A-334C-4B0E-A3FD-A84C3A944F79}" destId="{96171328-A8FF-4EC4-A7A8-A76D323224B1}" srcOrd="1" destOrd="0" presId="urn:microsoft.com/office/officeart/2005/8/layout/venn1"/>
    <dgm:cxn modelId="{5FD79754-4BA4-49F2-88EA-96C459F0EA08}" srcId="{EE7C0542-D811-43AF-9D95-1048FA7FC9F2}" destId="{51FF229A-334C-4B0E-A3FD-A84C3A944F79}" srcOrd="1" destOrd="0" parTransId="{6577E0B9-F18B-49C2-A31C-02716AB48B7E}" sibTransId="{D3490F2B-46FD-4ABA-B0EB-E5585B80B56E}"/>
    <dgm:cxn modelId="{AB1C7D79-4B24-4895-ABC8-10BE05264519}" srcId="{EE7C0542-D811-43AF-9D95-1048FA7FC9F2}" destId="{E4E1BB1F-D0FA-41FF-A4E7-153B0A5CCF0C}" srcOrd="3" destOrd="0" parTransId="{B5C05A2D-5C4F-4E8E-AF82-C8609D6B1D80}" sibTransId="{12358344-B4A1-42DC-8F01-98CB94BB5D69}"/>
    <dgm:cxn modelId="{04627580-21DA-41E7-8891-A1FA66B0D76F}" type="presOf" srcId="{171CC9BA-E440-45BC-AC13-FA05E8F979FF}" destId="{D2462935-A040-4808-8C04-87851DA5F3DD}" srcOrd="1" destOrd="0" presId="urn:microsoft.com/office/officeart/2005/8/layout/venn1"/>
    <dgm:cxn modelId="{90C9CEA7-A569-4C44-937B-0714A8A65454}" type="presOf" srcId="{12B42EBF-E2CB-4D9E-AA7F-5C52B5C55669}" destId="{EF9E67FD-2D44-40D6-81A3-DBCCA2066347}" srcOrd="0" destOrd="0" presId="urn:microsoft.com/office/officeart/2005/8/layout/venn1"/>
    <dgm:cxn modelId="{C36705CC-F5E4-44E9-856C-EB7535455132}" type="presOf" srcId="{EE7C0542-D811-43AF-9D95-1048FA7FC9F2}" destId="{727EBA84-48CC-4CCD-A00E-5EA115D05074}" srcOrd="0" destOrd="0" presId="urn:microsoft.com/office/officeart/2005/8/layout/venn1"/>
    <dgm:cxn modelId="{A1DD26E1-8645-45A6-9C1A-031382EB1AF6}" type="presOf" srcId="{E4E1BB1F-D0FA-41FF-A4E7-153B0A5CCF0C}" destId="{DF97AB46-C7A8-44E7-8043-3FD02211782B}" srcOrd="1" destOrd="0" presId="urn:microsoft.com/office/officeart/2005/8/layout/venn1"/>
    <dgm:cxn modelId="{48DCEDE3-013A-46D4-A714-66F48C0AB045}" type="presOf" srcId="{51FF229A-334C-4B0E-A3FD-A84C3A944F79}" destId="{8812F729-7F92-457B-9F65-815A2E1E6778}" srcOrd="0" destOrd="0" presId="urn:microsoft.com/office/officeart/2005/8/layout/venn1"/>
    <dgm:cxn modelId="{C17CB9F9-0F24-4362-9C62-DBAEC1FBD75A}" type="presOf" srcId="{E4E1BB1F-D0FA-41FF-A4E7-153B0A5CCF0C}" destId="{BA63C1C8-57BD-47DB-A3FD-BB45AF9D72CA}" srcOrd="0" destOrd="0" presId="urn:microsoft.com/office/officeart/2005/8/layout/venn1"/>
    <dgm:cxn modelId="{EFDC60D9-7B21-4C9D-B1CD-55859A150563}" type="presParOf" srcId="{727EBA84-48CC-4CCD-A00E-5EA115D05074}" destId="{178DF94B-2F74-43D3-AB9C-6989E76A939B}" srcOrd="0" destOrd="0" presId="urn:microsoft.com/office/officeart/2005/8/layout/venn1"/>
    <dgm:cxn modelId="{100BD848-8A01-4AFF-AA7D-62E0A01D0A52}" type="presParOf" srcId="{727EBA84-48CC-4CCD-A00E-5EA115D05074}" destId="{D2462935-A040-4808-8C04-87851DA5F3DD}" srcOrd="1" destOrd="0" presId="urn:microsoft.com/office/officeart/2005/8/layout/venn1"/>
    <dgm:cxn modelId="{04B0F2B4-3DA7-47E1-9209-F39BD2C1CD92}" type="presParOf" srcId="{727EBA84-48CC-4CCD-A00E-5EA115D05074}" destId="{8812F729-7F92-457B-9F65-815A2E1E6778}" srcOrd="2" destOrd="0" presId="urn:microsoft.com/office/officeart/2005/8/layout/venn1"/>
    <dgm:cxn modelId="{F75A4D18-9ADB-4D38-AEAE-D13A0FC4438F}" type="presParOf" srcId="{727EBA84-48CC-4CCD-A00E-5EA115D05074}" destId="{96171328-A8FF-4EC4-A7A8-A76D323224B1}" srcOrd="3" destOrd="0" presId="urn:microsoft.com/office/officeart/2005/8/layout/venn1"/>
    <dgm:cxn modelId="{4DE9196B-82A8-4D15-8D70-D0EAC3138EBB}" type="presParOf" srcId="{727EBA84-48CC-4CCD-A00E-5EA115D05074}" destId="{EF9E67FD-2D44-40D6-81A3-DBCCA2066347}" srcOrd="4" destOrd="0" presId="urn:microsoft.com/office/officeart/2005/8/layout/venn1"/>
    <dgm:cxn modelId="{0EF50C30-EA29-4ABA-BA2C-9E64FFD9BA67}" type="presParOf" srcId="{727EBA84-48CC-4CCD-A00E-5EA115D05074}" destId="{B3C66D71-AA46-40F6-82C3-869CE9F59F51}" srcOrd="5" destOrd="0" presId="urn:microsoft.com/office/officeart/2005/8/layout/venn1"/>
    <dgm:cxn modelId="{910F6986-70F6-4564-A9D9-0FA3AF6B96E7}" type="presParOf" srcId="{727EBA84-48CC-4CCD-A00E-5EA115D05074}" destId="{BA63C1C8-57BD-47DB-A3FD-BB45AF9D72CA}" srcOrd="6" destOrd="0" presId="urn:microsoft.com/office/officeart/2005/8/layout/venn1"/>
    <dgm:cxn modelId="{0AF564B6-CE8C-4C26-A042-0476941B3908}" type="presParOf" srcId="{727EBA84-48CC-4CCD-A00E-5EA115D05074}" destId="{DF97AB46-C7A8-44E7-8043-3FD02211782B}" srcOrd="7" destOrd="0" presId="urn:microsoft.com/office/officeart/2005/8/layout/venn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8056B37-3311-4335-A3A7-A09C9174CE9A}">
      <dsp:nvSpPr>
        <dsp:cNvPr id="0" name=""/>
        <dsp:cNvSpPr/>
      </dsp:nvSpPr>
      <dsp:spPr>
        <a:xfrm>
          <a:off x="2412682" y="47505"/>
          <a:ext cx="2280285" cy="2280285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400" kern="1200"/>
            <a:t>$0-50</a:t>
          </a:r>
        </a:p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MX" sz="3200" kern="1200"/>
        </a:p>
      </dsp:txBody>
      <dsp:txXfrm>
        <a:off x="2716720" y="446555"/>
        <a:ext cx="1672209" cy="1026128"/>
      </dsp:txXfrm>
    </dsp:sp>
    <dsp:sp modelId="{CAAEFD85-FCD5-4B41-9272-F30A2950CCB0}">
      <dsp:nvSpPr>
        <dsp:cNvPr id="0" name=""/>
        <dsp:cNvSpPr/>
      </dsp:nvSpPr>
      <dsp:spPr>
        <a:xfrm>
          <a:off x="3254526" y="1472684"/>
          <a:ext cx="2280285" cy="2280285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4900445"/>
                <a:satOff val="-20388"/>
                <a:lumOff val="4804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4900445"/>
                <a:satOff val="-20388"/>
                <a:lumOff val="4804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4900445"/>
                <a:satOff val="-20388"/>
                <a:lumOff val="4804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400" kern="1200"/>
            <a:t>+$100</a:t>
          </a:r>
        </a:p>
      </dsp:txBody>
      <dsp:txXfrm>
        <a:off x="3951913" y="2061757"/>
        <a:ext cx="1368171" cy="1254156"/>
      </dsp:txXfrm>
    </dsp:sp>
    <dsp:sp modelId="{E9A35085-2979-49A9-B182-E59B31992769}">
      <dsp:nvSpPr>
        <dsp:cNvPr id="0" name=""/>
        <dsp:cNvSpPr/>
      </dsp:nvSpPr>
      <dsp:spPr>
        <a:xfrm>
          <a:off x="1589880" y="1472684"/>
          <a:ext cx="2280285" cy="2280285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9800891"/>
                <a:satOff val="-40777"/>
                <a:lumOff val="9608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9800891"/>
                <a:satOff val="-40777"/>
                <a:lumOff val="9608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9800891"/>
                <a:satOff val="-40777"/>
                <a:lumOff val="9608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400" kern="1200"/>
            <a:t>$51-100</a:t>
          </a:r>
        </a:p>
      </dsp:txBody>
      <dsp:txXfrm>
        <a:off x="1804606" y="2061757"/>
        <a:ext cx="1368171" cy="1254156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8056B37-3311-4335-A3A7-A09C9174CE9A}">
      <dsp:nvSpPr>
        <dsp:cNvPr id="0" name=""/>
        <dsp:cNvSpPr/>
      </dsp:nvSpPr>
      <dsp:spPr>
        <a:xfrm>
          <a:off x="4273897" y="885832"/>
          <a:ext cx="1186754" cy="1186754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</dsp:sp>
    <dsp:sp modelId="{8E0E89F7-A2C2-4597-8EF7-D34E84A539AB}">
      <dsp:nvSpPr>
        <dsp:cNvPr id="0" name=""/>
        <dsp:cNvSpPr/>
      </dsp:nvSpPr>
      <dsp:spPr>
        <a:xfrm>
          <a:off x="4125553" y="0"/>
          <a:ext cx="1483442" cy="808101"/>
        </a:xfrm>
        <a:prstGeom prst="rect">
          <a:avLst/>
        </a:prstGeom>
        <a:noFill/>
        <a:ln>
          <a:noFill/>
        </a:ln>
        <a:effectLst/>
        <a:sp3d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200" kern="1200"/>
            <a:t>Josue Isaac Moreno Lòpez</a:t>
          </a:r>
        </a:p>
      </dsp:txBody>
      <dsp:txXfrm>
        <a:off x="4125553" y="0"/>
        <a:ext cx="1483442" cy="808101"/>
      </dsp:txXfrm>
    </dsp:sp>
    <dsp:sp modelId="{98B17275-D85E-470A-A8B7-AE42331991B9}">
      <dsp:nvSpPr>
        <dsp:cNvPr id="0" name=""/>
        <dsp:cNvSpPr/>
      </dsp:nvSpPr>
      <dsp:spPr>
        <a:xfrm>
          <a:off x="4659098" y="1108252"/>
          <a:ext cx="1186754" cy="1186754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1960178"/>
                <a:satOff val="-8155"/>
                <a:lumOff val="1922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1960178"/>
                <a:satOff val="-8155"/>
                <a:lumOff val="1922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1960178"/>
                <a:satOff val="-8155"/>
                <a:lumOff val="1922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</dsp:sp>
    <dsp:sp modelId="{A5CD08AA-C3DF-45FC-9148-79EBB4327FDB}">
      <dsp:nvSpPr>
        <dsp:cNvPr id="0" name=""/>
        <dsp:cNvSpPr/>
      </dsp:nvSpPr>
      <dsp:spPr>
        <a:xfrm>
          <a:off x="5933870" y="769620"/>
          <a:ext cx="1405809" cy="885063"/>
        </a:xfrm>
        <a:prstGeom prst="rect">
          <a:avLst/>
        </a:prstGeom>
        <a:noFill/>
        <a:ln>
          <a:noFill/>
        </a:ln>
        <a:effectLst/>
        <a:sp3d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200" kern="1200"/>
            <a:t>Jose Angel Gòmez Lòpez</a:t>
          </a:r>
        </a:p>
      </dsp:txBody>
      <dsp:txXfrm>
        <a:off x="5933870" y="769620"/>
        <a:ext cx="1405809" cy="885063"/>
      </dsp:txXfrm>
    </dsp:sp>
    <dsp:sp modelId="{3529ED35-6864-45CD-A45D-8CC2107CCC7C}">
      <dsp:nvSpPr>
        <dsp:cNvPr id="0" name=""/>
        <dsp:cNvSpPr/>
      </dsp:nvSpPr>
      <dsp:spPr>
        <a:xfrm>
          <a:off x="4659098" y="1553093"/>
          <a:ext cx="1186754" cy="1186754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3920356"/>
                <a:satOff val="-16311"/>
                <a:lumOff val="3843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3920356"/>
                <a:satOff val="-16311"/>
                <a:lumOff val="3843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3920356"/>
                <a:satOff val="-16311"/>
                <a:lumOff val="3843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</dsp:sp>
    <dsp:sp modelId="{F22128CE-252F-466B-AE34-5A629653B970}">
      <dsp:nvSpPr>
        <dsp:cNvPr id="0" name=""/>
        <dsp:cNvSpPr/>
      </dsp:nvSpPr>
      <dsp:spPr>
        <a:xfrm>
          <a:off x="5933870" y="2089518"/>
          <a:ext cx="1405809" cy="988961"/>
        </a:xfrm>
        <a:prstGeom prst="rect">
          <a:avLst/>
        </a:prstGeom>
        <a:noFill/>
        <a:ln>
          <a:noFill/>
        </a:ln>
        <a:effectLst/>
        <a:sp3d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200" kern="1200"/>
            <a:t>Francisco Oropeza Camacho</a:t>
          </a:r>
        </a:p>
      </dsp:txBody>
      <dsp:txXfrm>
        <a:off x="5933870" y="2089518"/>
        <a:ext cx="1405809" cy="988961"/>
      </dsp:txXfrm>
    </dsp:sp>
    <dsp:sp modelId="{3D6A2160-ABED-4E1B-910C-730A5560B775}">
      <dsp:nvSpPr>
        <dsp:cNvPr id="0" name=""/>
        <dsp:cNvSpPr/>
      </dsp:nvSpPr>
      <dsp:spPr>
        <a:xfrm>
          <a:off x="4273897" y="1775898"/>
          <a:ext cx="1186754" cy="1186754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5880535"/>
                <a:satOff val="-24466"/>
                <a:lumOff val="5765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5880535"/>
                <a:satOff val="-24466"/>
                <a:lumOff val="5765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5880535"/>
                <a:satOff val="-24466"/>
                <a:lumOff val="5765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</dsp:sp>
    <dsp:sp modelId="{B247E71B-011E-49FE-8689-F80B3CCDEA7A}">
      <dsp:nvSpPr>
        <dsp:cNvPr id="0" name=""/>
        <dsp:cNvSpPr/>
      </dsp:nvSpPr>
      <dsp:spPr>
        <a:xfrm>
          <a:off x="4125553" y="3039999"/>
          <a:ext cx="1483442" cy="808101"/>
        </a:xfrm>
        <a:prstGeom prst="rect">
          <a:avLst/>
        </a:prstGeom>
        <a:noFill/>
        <a:ln>
          <a:noFill/>
        </a:ln>
        <a:effectLst/>
        <a:sp3d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200" kern="1200"/>
            <a:t>Abraham de Jesus Pale Moshan </a:t>
          </a:r>
        </a:p>
      </dsp:txBody>
      <dsp:txXfrm>
        <a:off x="4125553" y="3039999"/>
        <a:ext cx="1483442" cy="808101"/>
      </dsp:txXfrm>
    </dsp:sp>
    <dsp:sp modelId="{0E8FF443-F802-453F-86DF-09795E1EDFE1}">
      <dsp:nvSpPr>
        <dsp:cNvPr id="0" name=""/>
        <dsp:cNvSpPr/>
      </dsp:nvSpPr>
      <dsp:spPr>
        <a:xfrm>
          <a:off x="3888697" y="1553093"/>
          <a:ext cx="1186754" cy="1186754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7840713"/>
                <a:satOff val="-32622"/>
                <a:lumOff val="7686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7840713"/>
                <a:satOff val="-32622"/>
                <a:lumOff val="7686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7840713"/>
                <a:satOff val="-32622"/>
                <a:lumOff val="7686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</dsp:sp>
    <dsp:sp modelId="{9C1AB4AE-6F74-4E12-BCD3-E4FCE4B94A7A}">
      <dsp:nvSpPr>
        <dsp:cNvPr id="0" name=""/>
        <dsp:cNvSpPr/>
      </dsp:nvSpPr>
      <dsp:spPr>
        <a:xfrm>
          <a:off x="2394870" y="2089518"/>
          <a:ext cx="1405809" cy="988961"/>
        </a:xfrm>
        <a:prstGeom prst="rect">
          <a:avLst/>
        </a:prstGeom>
        <a:noFill/>
        <a:ln>
          <a:noFill/>
        </a:ln>
        <a:effectLst/>
        <a:sp3d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200" kern="1200"/>
            <a:t>Mario Alberto Eulogio Gomez</a:t>
          </a:r>
        </a:p>
      </dsp:txBody>
      <dsp:txXfrm>
        <a:off x="2394870" y="2089518"/>
        <a:ext cx="1405809" cy="988961"/>
      </dsp:txXfrm>
    </dsp:sp>
    <dsp:sp modelId="{2CC35F0A-E2F9-4FAE-943F-7A018E5AF2A5}">
      <dsp:nvSpPr>
        <dsp:cNvPr id="0" name=""/>
        <dsp:cNvSpPr/>
      </dsp:nvSpPr>
      <dsp:spPr>
        <a:xfrm>
          <a:off x="3888697" y="1108252"/>
          <a:ext cx="1186754" cy="1186754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9800891"/>
                <a:satOff val="-40777"/>
                <a:lumOff val="9608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9800891"/>
                <a:satOff val="-40777"/>
                <a:lumOff val="9608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9800891"/>
                <a:satOff val="-40777"/>
                <a:lumOff val="9608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</dsp:sp>
    <dsp:sp modelId="{F6E8F75B-5D6A-45F6-9454-3545C08E5F0A}">
      <dsp:nvSpPr>
        <dsp:cNvPr id="0" name=""/>
        <dsp:cNvSpPr/>
      </dsp:nvSpPr>
      <dsp:spPr>
        <a:xfrm>
          <a:off x="2394870" y="769620"/>
          <a:ext cx="1405809" cy="988961"/>
        </a:xfrm>
        <a:prstGeom prst="rect">
          <a:avLst/>
        </a:prstGeom>
        <a:noFill/>
        <a:ln>
          <a:noFill/>
        </a:ln>
        <a:effectLst/>
        <a:sp3d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200" kern="1200"/>
            <a:t>Miguel Angel Pèrez Hernàndez</a:t>
          </a:r>
        </a:p>
      </dsp:txBody>
      <dsp:txXfrm>
        <a:off x="2394870" y="769620"/>
        <a:ext cx="1405809" cy="988961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78DF94B-2F74-43D3-AB9C-6989E76A939B}">
      <dsp:nvSpPr>
        <dsp:cNvPr id="0" name=""/>
        <dsp:cNvSpPr/>
      </dsp:nvSpPr>
      <dsp:spPr>
        <a:xfrm>
          <a:off x="2584037" y="36528"/>
          <a:ext cx="1899475" cy="1899475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2200" kern="1200"/>
            <a:t>Febrero</a:t>
          </a:r>
        </a:p>
      </dsp:txBody>
      <dsp:txXfrm>
        <a:off x="2803207" y="292227"/>
        <a:ext cx="1461135" cy="602718"/>
      </dsp:txXfrm>
    </dsp:sp>
    <dsp:sp modelId="{8812F729-7F92-457B-9F65-815A2E1E6778}">
      <dsp:nvSpPr>
        <dsp:cNvPr id="0" name=""/>
        <dsp:cNvSpPr/>
      </dsp:nvSpPr>
      <dsp:spPr>
        <a:xfrm>
          <a:off x="3424190" y="876681"/>
          <a:ext cx="1899475" cy="1899475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3266964"/>
                <a:satOff val="-13592"/>
                <a:lumOff val="3203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3266964"/>
                <a:satOff val="-13592"/>
                <a:lumOff val="3203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3266964"/>
                <a:satOff val="-13592"/>
                <a:lumOff val="3203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2200" kern="1200"/>
            <a:t>Marzo</a:t>
          </a:r>
        </a:p>
      </dsp:txBody>
      <dsp:txXfrm>
        <a:off x="4446985" y="1095851"/>
        <a:ext cx="730567" cy="1461135"/>
      </dsp:txXfrm>
    </dsp:sp>
    <dsp:sp modelId="{EF9E67FD-2D44-40D6-81A3-DBCCA2066347}">
      <dsp:nvSpPr>
        <dsp:cNvPr id="0" name=""/>
        <dsp:cNvSpPr/>
      </dsp:nvSpPr>
      <dsp:spPr>
        <a:xfrm>
          <a:off x="2584037" y="1716833"/>
          <a:ext cx="1899475" cy="1899475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6533927"/>
                <a:satOff val="-27185"/>
                <a:lumOff val="6405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6533927"/>
                <a:satOff val="-27185"/>
                <a:lumOff val="6405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6533927"/>
                <a:satOff val="-27185"/>
                <a:lumOff val="6405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2200" kern="1200"/>
            <a:t>Abril</a:t>
          </a:r>
        </a:p>
      </dsp:txBody>
      <dsp:txXfrm>
        <a:off x="2803207" y="2757892"/>
        <a:ext cx="1461135" cy="602718"/>
      </dsp:txXfrm>
    </dsp:sp>
    <dsp:sp modelId="{BA63C1C8-57BD-47DB-A3FD-BB45AF9D72CA}">
      <dsp:nvSpPr>
        <dsp:cNvPr id="0" name=""/>
        <dsp:cNvSpPr/>
      </dsp:nvSpPr>
      <dsp:spPr>
        <a:xfrm>
          <a:off x="1743884" y="876681"/>
          <a:ext cx="1899475" cy="1899475"/>
        </a:xfrm>
        <a:prstGeom prst="ellipse">
          <a:avLst/>
        </a:prstGeom>
        <a:gradFill rotWithShape="0">
          <a:gsLst>
            <a:gs pos="0">
              <a:schemeClr val="accent4">
                <a:alpha val="50000"/>
                <a:hueOff val="9800891"/>
                <a:satOff val="-40777"/>
                <a:lumOff val="9608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alpha val="50000"/>
                <a:hueOff val="9800891"/>
                <a:satOff val="-40777"/>
                <a:lumOff val="9608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alpha val="50000"/>
                <a:hueOff val="9800891"/>
                <a:satOff val="-40777"/>
                <a:lumOff val="9608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tx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2200" kern="1200"/>
            <a:t>Mayo</a:t>
          </a:r>
        </a:p>
      </dsp:txBody>
      <dsp:txXfrm>
        <a:off x="1889998" y="1095851"/>
        <a:ext cx="730567" cy="146113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enn1">
  <dgm:title val=""/>
  <dgm:desc val=""/>
  <dgm:catLst>
    <dgm:cat type="relationship" pri="28000"/>
    <dgm:cat type="convert" pri="19000"/>
  </dgm:catLst>
  <dgm:sampData useDef="1">
    <dgm:dataModel>
      <dgm:ptLst/>
      <dgm:bg/>
      <dgm:whole/>
    </dgm:dataModel>
  </dgm:sampData>
  <dgm:styleData useDef="1">
    <dgm:dataModel>
      <dgm:ptLst/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clrData>
  <dgm:layoutNode name="compositeShape">
    <dgm:varLst>
      <dgm:chMax val="7"/>
      <dgm:dir/>
      <dgm:resizeHandles val="exact"/>
    </dgm:varLst>
    <dgm:choose name="Name0">
      <dgm:if name="Name1" axis="ch" ptType="node" func="cnt" op="equ" val="1">
        <dgm:alg type="composite">
          <dgm:param type="ar" val="1"/>
        </dgm:alg>
      </dgm:if>
      <dgm:if name="Name2" axis="ch" ptType="node" func="cnt" op="equ" val="2">
        <dgm:alg type="composite">
          <dgm:param type="ar" val="1.792"/>
        </dgm:alg>
      </dgm:if>
      <dgm:if name="Name3" axis="ch" ptType="node" func="cnt" op="equ" val="3">
        <dgm:alg type="composite">
          <dgm:param type="ar" val="1"/>
        </dgm:alg>
      </dgm:if>
      <dgm:if name="Name4" axis="ch" ptType="node" func="cnt" op="equ" val="4">
        <dgm:alg type="composite">
          <dgm:param type="ar" val="1"/>
        </dgm:alg>
      </dgm:if>
      <dgm:if name="Name5" axis="ch" ptType="node" func="cnt" op="equ" val="5">
        <dgm:alg type="composite">
          <dgm:param type="ar" val="1.4"/>
        </dgm:alg>
      </dgm:if>
      <dgm:if name="Name6" axis="ch" ptType="node" func="cnt" op="equ" val="6">
        <dgm:alg type="composite">
          <dgm:param type="ar" val="1.285"/>
        </dgm:alg>
      </dgm:if>
      <dgm:if name="Name7" axis="ch" ptType="node" func="cnt" op="equ" val="7">
        <dgm:alg type="composite">
          <dgm:param type="ar" val="1.359"/>
        </dgm:alg>
      </dgm:if>
      <dgm:else name="Name8">
        <dgm:alg type="composite">
          <dgm:param type="ar" val="1.359"/>
        </dgm:alg>
      </dgm:else>
    </dgm:choose>
    <dgm:shape xmlns:r="http://schemas.openxmlformats.org/officeDocument/2006/relationships" r:blip="">
      <dgm:adjLst/>
    </dgm:shape>
    <dgm:presOf/>
    <dgm:choose name="Name9">
      <dgm:if name="Name10" axis="ch" ptType="node" func="cnt" op="equ" val="1">
        <dgm:constrLst>
          <dgm:constr type="ctrX" for="ch" forName="circ1TxSh" refType="w" fact="0.5"/>
          <dgm:constr type="ctrY" for="ch" forName="circ1TxSh" refType="h" fact="0.5"/>
          <dgm:constr type="w" for="ch" forName="circ1TxSh" refType="w"/>
          <dgm:constr type="h" for="ch" forName="circ1TxSh" refType="h"/>
          <dgm:constr type="primFontSz" for="ch" ptType="node" op="equ"/>
        </dgm:constrLst>
      </dgm:if>
      <dgm:if name="Name11" axis="ch" ptType="node" func="cnt" op="equ" val="2">
        <dgm:constrLst>
          <dgm:constr type="ctrX" for="ch" forName="circ1" refType="w" fact="0.3"/>
          <dgm:constr type="ctrY" for="ch" forName="circ1" refType="h" fact="0.5"/>
          <dgm:constr type="w" for="ch" forName="circ1" refType="w" fact="0.555"/>
          <dgm:constr type="h" for="ch" forName="circ1" refType="h" fact="0.99456"/>
          <dgm:constr type="l" for="ch" forName="circ1Tx" refType="w" fact="0.1"/>
          <dgm:constr type="t" for="ch" forName="circ1Tx" refType="h" fact="0.12"/>
          <dgm:constr type="w" for="ch" forName="circ1Tx" refType="w" fact="0.32"/>
          <dgm:constr type="h" for="ch" forName="circ1Tx" refType="h" fact="0.76"/>
          <dgm:constr type="ctrX" for="ch" forName="circ2" refType="w" fact="0.7"/>
          <dgm:constr type="ctrY" for="ch" forName="circ2" refType="h" fact="0.5"/>
          <dgm:constr type="w" for="ch" forName="circ2" refType="w" fact="0.555"/>
          <dgm:constr type="h" for="ch" forName="circ2" refType="h" fact="0.99456"/>
          <dgm:constr type="l" for="ch" forName="circ2Tx" refType="w" fact="0.58"/>
          <dgm:constr type="t" for="ch" forName="circ2Tx" refType="h" fact="0.12"/>
          <dgm:constr type="w" for="ch" forName="circ2Tx" refType="w" fact="0.32"/>
          <dgm:constr type="h" for="ch" forName="circ2Tx" refType="h" fact="0.76"/>
          <dgm:constr type="primFontSz" for="ch" ptType="node" op="equ"/>
        </dgm:constrLst>
      </dgm:if>
      <dgm:if name="Name12" axis="ch" ptType="node" func="cnt" op="equ" val="3">
        <dgm:constrLst>
          <dgm:constr type="ctrX" for="ch" forName="circ1" refType="w" fact="0.5"/>
          <dgm:constr type="ctrY" for="ch" forName="circ1" refType="w" fact="0.25"/>
          <dgm:constr type="w" for="ch" forName="circ1" refType="w" fact="0.6"/>
          <dgm:constr type="h" for="ch" forName="circ1" refType="h" fact="0.6"/>
          <dgm:constr type="l" for="ch" forName="circ1Tx" refType="w" fact="0.28"/>
          <dgm:constr type="t" for="ch" forName="circ1Tx" refType="h" fact="0.055"/>
          <dgm:constr type="w" for="ch" forName="circ1Tx" refType="w" fact="0.44"/>
          <dgm:constr type="h" for="ch" forName="circ1Tx" refType="h" fact="0.27"/>
          <dgm:constr type="ctrX" for="ch" forName="circ2" refType="w" fact="0.7165"/>
          <dgm:constr type="ctrY" for="ch" forName="circ2" refType="w" fact="0.625"/>
          <dgm:constr type="w" for="ch" forName="circ2" refType="w" fact="0.6"/>
          <dgm:constr type="h" for="ch" forName="circ2" refType="h" fact="0.6"/>
          <dgm:constr type="l" for="ch" forName="circ2Tx" refType="w" fact="0.6"/>
          <dgm:constr type="t" for="ch" forName="circ2Tx" refType="h" fact="0.48"/>
          <dgm:constr type="w" for="ch" forName="circ2Tx" refType="w" fact="0.36"/>
          <dgm:constr type="h" for="ch" forName="circ2Tx" refType="h" fact="0.33"/>
          <dgm:constr type="ctrX" for="ch" forName="circ3" refType="w" fact="0.2835"/>
          <dgm:constr type="ctrY" for="ch" forName="circ3" refType="w" fact="0.625"/>
          <dgm:constr type="w" for="ch" forName="circ3" refType="w" fact="0.6"/>
          <dgm:constr type="h" for="ch" forName="circ3" refType="h" fact="0.6"/>
          <dgm:constr type="l" for="ch" forName="circ3Tx" refType="w" fact="0.04"/>
          <dgm:constr type="t" for="ch" forName="circ3Tx" refType="h" fact="0.48"/>
          <dgm:constr type="w" for="ch" forName="circ3Tx" refType="w" fact="0.36"/>
          <dgm:constr type="h" for="ch" forName="circ3Tx" refType="h" fact="0.33"/>
          <dgm:constr type="primFontSz" for="ch" ptType="node" op="equ"/>
        </dgm:constrLst>
      </dgm:if>
      <dgm:if name="Name13" axis="ch" ptType="node" func="cnt" op="equ" val="4">
        <dgm:constrLst>
          <dgm:constr type="ctrX" for="ch" forName="circ1" refType="w" fact="0.5"/>
          <dgm:constr type="ctrY" for="ch" forName="circ1" refType="w" fact="0.27"/>
          <dgm:constr type="w" for="ch" forName="circ1" refType="w" fact="0.52"/>
          <dgm:constr type="h" for="ch" forName="circ1" refType="h" fact="0.52"/>
          <dgm:constr type="l" for="ch" forName="circ1Tx" refType="w" fact="0.3"/>
          <dgm:constr type="t" for="ch" forName="circ1Tx" refType="h" fact="0.08"/>
          <dgm:constr type="w" for="ch" forName="circ1Tx" refType="w" fact="0.4"/>
          <dgm:constr type="h" for="ch" forName="circ1Tx" refType="h" fact="0.165"/>
          <dgm:constr type="ctrX" for="ch" forName="circ2" refType="w" fact="0.73"/>
          <dgm:constr type="ctrY" for="ch" forName="circ2" refType="w" fact="0.5"/>
          <dgm:constr type="w" for="ch" forName="circ2" refType="w" fact="0.52"/>
          <dgm:constr type="h" for="ch" forName="circ2" refType="h" fact="0.52"/>
          <dgm:constr type="r" for="ch" forName="circ2Tx" refType="w" fact="0.95"/>
          <dgm:constr type="t" for="ch" forName="circ2Tx" refType="h" fact="0.3"/>
          <dgm:constr type="w" for="ch" forName="circ2Tx" refType="w" fact="0.2"/>
          <dgm:constr type="h" for="ch" forName="circ2Tx" refType="h" fact="0.4"/>
          <dgm:constr type="ctrX" for="ch" forName="circ3" refType="w" fact="0.5"/>
          <dgm:constr type="ctrY" for="ch" forName="circ3" refType="w" fact="0.73"/>
          <dgm:constr type="w" for="ch" forName="circ3" refType="w" fact="0.52"/>
          <dgm:constr type="h" for="ch" forName="circ3" refType="h" fact="0.52"/>
          <dgm:constr type="l" for="ch" forName="circ3Tx" refType="w" fact="0.3"/>
          <dgm:constr type="b" for="ch" forName="circ3Tx" refType="h" fact="0.92"/>
          <dgm:constr type="w" for="ch" forName="circ3Tx" refType="w" fact="0.4"/>
          <dgm:constr type="h" for="ch" forName="circ3Tx" refType="h" fact="0.165"/>
          <dgm:constr type="ctrX" for="ch" forName="circ4" refType="w" fact="0.27"/>
          <dgm:constr type="ctrY" for="ch" forName="circ4" refType="h" fact="0.5"/>
          <dgm:constr type="w" for="ch" forName="circ4" refType="w" fact="0.52"/>
          <dgm:constr type="h" for="ch" forName="circ4" refType="h" fact="0.52"/>
          <dgm:constr type="l" for="ch" forName="circ4Tx" refType="w" fact="0.05"/>
          <dgm:constr type="t" for="ch" forName="circ4Tx" refType="h" fact="0.3"/>
          <dgm:constr type="w" for="ch" forName="circ4Tx" refType="w" fact="0.2"/>
          <dgm:constr type="h" for="ch" forName="circ4Tx" refType="h" fact="0.4"/>
          <dgm:constr type="primFontSz" for="ch" ptType="node" op="equ"/>
        </dgm:constrLst>
      </dgm:if>
      <dgm:if name="Name14" axis="ch" ptType="node" func="cnt" op="equ" val="5">
        <dgm:constrLst>
          <dgm:constr type="ctrX" for="ch" forName="circ1" refType="w" fact="0.5"/>
          <dgm:constr type="ctrY" for="ch" forName="circ1" refType="h" fact="0.46"/>
          <dgm:constr type="w" for="ch" forName="circ1" refType="w" fact="0.25"/>
          <dgm:constr type="h" for="ch" forName="circ1" refType="h" fact="0.35"/>
          <dgm:constr type="l" for="ch" forName="circ1Tx" refType="w" fact="0.355"/>
          <dgm:constr type="t" for="ch" forName="circ1Tx"/>
          <dgm:constr type="w" for="ch" forName="circ1Tx" refType="w" fact="0.29"/>
          <dgm:constr type="h" for="ch" forName="circ1Tx" refType="h" fact="0.235"/>
          <dgm:constr type="ctrX" for="ch" forName="circ2" refType="w" fact="0.5951"/>
          <dgm:constr type="ctrY" for="ch" forName="circ2" refType="h" fact="0.5567"/>
          <dgm:constr type="w" for="ch" forName="circ2" refType="w" fact="0.25"/>
          <dgm:constr type="h" for="ch" forName="circ2" refType="h" fact="0.35"/>
          <dgm:constr type="l" for="ch" forName="circ2Tx" refType="w" fact="0.74"/>
          <dgm:constr type="t" for="ch" forName="circ2Tx" refType="h" fact="0.31"/>
          <dgm:constr type="w" for="ch" forName="circ2Tx" refType="w" fact="0.26"/>
          <dgm:constr type="h" for="ch" forName="circ2Tx" refType="h" fact="0.255"/>
          <dgm:constr type="ctrX" for="ch" forName="circ3" refType="w" fact="0.5588"/>
          <dgm:constr type="ctrY" for="ch" forName="circ3" refType="h" fact="0.7133"/>
          <dgm:constr type="w" for="ch" forName="circ3" refType="w" fact="0.25"/>
          <dgm:constr type="h" for="ch" forName="circ3" refType="h" fact="0.35"/>
          <dgm:constr type="l" for="ch" forName="circ3Tx" refType="w" fact="0.7"/>
          <dgm:constr type="t" for="ch" forName="circ3Tx" refType="h" fact="0.745"/>
          <dgm:constr type="w" for="ch" forName="circ3Tx" refType="w" fact="0.26"/>
          <dgm:constr type="h" for="ch" forName="circ3Tx" refType="h" fact="0.255"/>
          <dgm:constr type="ctrX" for="ch" forName="circ4" refType="w" fact="0.4412"/>
          <dgm:constr type="ctrY" for="ch" forName="circ4" refType="h" fact="0.7133"/>
          <dgm:constr type="w" for="ch" forName="circ4" refType="w" fact="0.25"/>
          <dgm:constr type="h" for="ch" forName="circ4" refType="h" fact="0.35"/>
          <dgm:constr type="l" for="ch" forName="circ4Tx" refType="w" fact="0.04"/>
          <dgm:constr type="t" for="ch" forName="circ4Tx" refType="h" fact="0.745"/>
          <dgm:constr type="w" for="ch" forName="circ4Tx" refType="w" fact="0.26"/>
          <dgm:constr type="h" for="ch" forName="circ4Tx" refType="h" fact="0.255"/>
          <dgm:constr type="ctrX" for="ch" forName="circ5" refType="w" fact="0.4049"/>
          <dgm:constr type="ctrY" for="ch" forName="circ5" refType="h" fact="0.5567"/>
          <dgm:constr type="w" for="ch" forName="circ5" refType="w" fact="0.25"/>
          <dgm:constr type="h" for="ch" forName="circ5" refType="h" fact="0.35"/>
          <dgm:constr type="l" for="ch" forName="circ5Tx"/>
          <dgm:constr type="t" for="ch" forName="circ5Tx" refType="h" fact="0.31"/>
          <dgm:constr type="w" for="ch" forName="circ5Tx" refType="w" fact="0.26"/>
          <dgm:constr type="h" for="ch" forName="circ5Tx" refType="h" fact="0.255"/>
          <dgm:constr type="primFontSz" for="ch" ptType="node" op="equ"/>
        </dgm:constrLst>
      </dgm:if>
      <dgm:if name="Name15" axis="ch" ptType="node" func="cnt" op="equ" val="6">
        <dgm:constrLst>
          <dgm:constr type="ctrX" for="ch" forName="circ1" refType="w" fact="0.5"/>
          <dgm:constr type="ctrY" for="ch" forName="circ1" refType="h" fact="0.3844"/>
          <dgm:constr type="w" for="ch" forName="circ1" refType="w" fact="0.24"/>
          <dgm:constr type="h" for="ch" forName="circ1" refType="h" fact="0.3084"/>
          <dgm:constr type="l" for="ch" forName="circ1Tx" refType="w" fact="0.35"/>
          <dgm:constr type="t" for="ch" forName="circ1Tx"/>
          <dgm:constr type="w" for="ch" forName="circ1Tx" refType="w" fact="0.3"/>
          <dgm:constr type="h" for="ch" forName="circ1Tx" refType="h" fact="0.21"/>
          <dgm:constr type="ctrX" for="ch" forName="circ2" refType="w" fact="0.5779"/>
          <dgm:constr type="ctrY" for="ch" forName="circ2" refType="h" fact="0.4422"/>
          <dgm:constr type="w" for="ch" forName="circ2" refType="w" fact="0.24"/>
          <dgm:constr type="h" for="ch" forName="circ2" refType="h" fact="0.3084"/>
          <dgm:constr type="l" for="ch" forName="circ2Tx" refType="w" fact="0.7157"/>
          <dgm:constr type="t" for="ch" forName="circ2Tx" refType="h" fact="0.2"/>
          <dgm:constr type="w" for="ch" forName="circ2Tx" refType="w" fact="0.2843"/>
          <dgm:constr type="h" for="ch" forName="circ2Tx" refType="h" fact="0.23"/>
          <dgm:constr type="ctrX" for="ch" forName="circ3" refType="w" fact="0.5779"/>
          <dgm:constr type="ctrY" for="ch" forName="circ3" refType="h" fact="0.5578"/>
          <dgm:constr type="w" for="ch" forName="circ3" refType="w" fact="0.24"/>
          <dgm:constr type="h" for="ch" forName="circ3" refType="h" fact="0.3084"/>
          <dgm:constr type="l" for="ch" forName="circ3Tx" refType="w" fact="0.7157"/>
          <dgm:constr type="t" for="ch" forName="circ3Tx" refType="h" fact="0.543"/>
          <dgm:constr type="w" for="ch" forName="circ3Tx" refType="w" fact="0.2843"/>
          <dgm:constr type="h" for="ch" forName="circ3Tx" refType="h" fact="0.257"/>
          <dgm:constr type="ctrX" for="ch" forName="circ4" refType="w" fact="0.5"/>
          <dgm:constr type="ctrY" for="ch" forName="circ4" refType="h" fact="0.6157"/>
          <dgm:constr type="w" for="ch" forName="circ4" refType="w" fact="0.24"/>
          <dgm:constr type="h" for="ch" forName="circ4" refType="h" fact="0.3084"/>
          <dgm:constr type="l" for="ch" forName="circ4Tx" refType="w" fact="0.35"/>
          <dgm:constr type="t" for="ch" forName="circ4Tx" refType="h" fact="0.79"/>
          <dgm:constr type="w" for="ch" forName="circ4Tx" refType="w" fact="0.3"/>
          <dgm:constr type="h" for="ch" forName="circ4Tx" refType="h" fact="0.21"/>
          <dgm:constr type="ctrX" for="ch" forName="circ5" refType="w" fact="0.4221"/>
          <dgm:constr type="ctrY" for="ch" forName="circ5" refType="h" fact="0.5578"/>
          <dgm:constr type="w" for="ch" forName="circ5" refType="w" fact="0.24"/>
          <dgm:constr type="h" for="ch" forName="circ5" refType="h" fact="0.3084"/>
          <dgm:constr type="l" for="ch" forName="circ5Tx" refType="w" fact="0"/>
          <dgm:constr type="t" for="ch" forName="circ5Tx" refType="h" fact="0.543"/>
          <dgm:constr type="w" for="ch" forName="circ5Tx" refType="w" fact="0.2843"/>
          <dgm:constr type="h" for="ch" forName="circ5Tx" refType="h" fact="0.257"/>
          <dgm:constr type="ctrX" for="ch" forName="circ6" refType="w" fact="0.4221"/>
          <dgm:constr type="ctrY" for="ch" forName="circ6" refType="h" fact="0.4422"/>
          <dgm:constr type="w" for="ch" forName="circ6" refType="w" fact="0.24"/>
          <dgm:constr type="h" for="ch" forName="circ6" refType="h" fact="0.3084"/>
          <dgm:constr type="l" for="ch" forName="circ6Tx" refType="w" fact="0"/>
          <dgm:constr type="t" for="ch" forName="circ6Tx" refType="h" fact="0.2"/>
          <dgm:constr type="w" for="ch" forName="circ6Tx" refType="w" fact="0.2843"/>
          <dgm:constr type="h" for="ch" forName="circ6Tx" refType="h" fact="0.257"/>
          <dgm:constr type="primFontSz" for="ch" ptType="node" op="equ"/>
        </dgm:constrLst>
      </dgm:if>
      <dgm:else name="Name16">
        <dgm:constrLst>
          <dgm:constr type="ctrX" for="ch" forName="circ1" refType="w" fact="0.5"/>
          <dgm:constr type="ctrY" for="ch" forName="circ1" refType="h" fact="0.4177"/>
          <dgm:constr type="w" for="ch" forName="circ1" refType="w" fact="0.24"/>
          <dgm:constr type="h" for="ch" forName="circ1" refType="h" fact="0.3262"/>
          <dgm:constr type="l" for="ch" forName="circ1Tx" refType="w" fact="0.3625"/>
          <dgm:constr type="t" for="ch" forName="circ1Tx"/>
          <dgm:constr type="w" for="ch" forName="circ1Tx" refType="w" fact="0.275"/>
          <dgm:constr type="h" for="ch" forName="circ1Tx" refType="h" fact="0.2"/>
          <dgm:constr type="ctrX" for="ch" forName="circ2" refType="w" fact="0.5704"/>
          <dgm:constr type="ctrY" for="ch" forName="circ2" refType="h" fact="0.4637"/>
          <dgm:constr type="w" for="ch" forName="circ2" refType="w" fact="0.24"/>
          <dgm:constr type="h" for="ch" forName="circ2" refType="h" fact="0.3262"/>
          <dgm:constr type="l" for="ch" forName="circ2Tx" refType="w" fact="0.72"/>
          <dgm:constr type="t" for="ch" forName="circ2Tx" refType="h" fact="0.19"/>
          <dgm:constr type="w" for="ch" forName="circ2Tx" refType="w" fact="0.26"/>
          <dgm:constr type="h" for="ch" forName="circ2Tx" refType="h" fact="0.22"/>
          <dgm:constr type="ctrX" for="ch" forName="circ3" refType="w" fact="0.5877"/>
          <dgm:constr type="ctrY" for="ch" forName="circ3" refType="h" fact="0.5672"/>
          <dgm:constr type="w" for="ch" forName="circ3" refType="w" fact="0.24"/>
          <dgm:constr type="h" for="ch" forName="circ3" refType="h" fact="0.3262"/>
          <dgm:constr type="l" for="ch" forName="circ3Tx" refType="w" fact="0.745"/>
          <dgm:constr type="t" for="ch" forName="circ3Tx" refType="h" fact="0.47"/>
          <dgm:constr type="w" for="ch" forName="circ3Tx" refType="w" fact="0.255"/>
          <dgm:constr type="h" for="ch" forName="circ3Tx" refType="h" fact="0.235"/>
          <dgm:constr type="ctrX" for="ch" forName="circ4" refType="w" fact="0.539"/>
          <dgm:constr type="ctrY" for="ch" forName="circ4" refType="h" fact="0.6502"/>
          <dgm:constr type="w" for="ch" forName="circ4" refType="w" fact="0.24"/>
          <dgm:constr type="h" for="ch" forName="circ4" refType="h" fact="0.3262"/>
          <dgm:constr type="l" for="ch" forName="circ4Tx" refType="w" fact="0.635"/>
          <dgm:constr type="t" for="ch" forName="circ4Tx" refType="h" fact="0.785"/>
          <dgm:constr type="w" for="ch" forName="circ4Tx" refType="w" fact="0.275"/>
          <dgm:constr type="h" for="ch" forName="circ4Tx" refType="h" fact="0.215"/>
          <dgm:constr type="ctrX" for="ch" forName="circ5" refType="w" fact="0.461"/>
          <dgm:constr type="ctrY" for="ch" forName="circ5" refType="h" fact="0.6502"/>
          <dgm:constr type="w" for="ch" forName="circ5" refType="w" fact="0.24"/>
          <dgm:constr type="h" for="ch" forName="circ5" refType="h" fact="0.3262"/>
          <dgm:constr type="l" for="ch" forName="circ5Tx" refType="w" fact="0.09"/>
          <dgm:constr type="t" for="ch" forName="circ5Tx" refType="h" fact="0.785"/>
          <dgm:constr type="w" for="ch" forName="circ5Tx" refType="w" fact="0.275"/>
          <dgm:constr type="h" for="ch" forName="circ5Tx" refType="h" fact="0.215"/>
          <dgm:constr type="ctrX" for="ch" forName="circ6" refType="w" fact="0.4123"/>
          <dgm:constr type="ctrY" for="ch" forName="circ6" refType="h" fact="0.5672"/>
          <dgm:constr type="w" for="ch" forName="circ6" refType="w" fact="0.24"/>
          <dgm:constr type="h" for="ch" forName="circ6" refType="h" fact="0.3262"/>
          <dgm:constr type="l" for="ch" forName="circ6Tx"/>
          <dgm:constr type="t" for="ch" forName="circ6Tx" refType="h" fact="0.47"/>
          <dgm:constr type="w" for="ch" forName="circ6Tx" refType="w" fact="0.255"/>
          <dgm:constr type="h" for="ch" forName="circ6Tx" refType="h" fact="0.235"/>
          <dgm:constr type="ctrX" for="ch" forName="circ7" refType="w" fact="0.4296"/>
          <dgm:constr type="ctrY" for="ch" forName="circ7" refType="h" fact="0.4637"/>
          <dgm:constr type="w" for="ch" forName="circ7" refType="w" fact="0.24"/>
          <dgm:constr type="h" for="ch" forName="circ7" refType="h" fact="0.3262"/>
          <dgm:constr type="l" for="ch" forName="circ7Tx" refType="w" fact="0.02"/>
          <dgm:constr type="t" for="ch" forName="circ7Tx" refType="h" fact="0.19"/>
          <dgm:constr type="w" for="ch" forName="circ7Tx" refType="w" fact="0.26"/>
          <dgm:constr type="h" for="ch" forName="circ7Tx" refType="h" fact="0.22"/>
          <dgm:constr type="primFontSz" for="ch" ptType="node" op="equ"/>
        </dgm:constrLst>
      </dgm:else>
    </dgm:choose>
    <dgm:ruleLst/>
    <dgm:forEach name="Name17" axis="ch" ptType="node" cnt="1">
      <dgm:choose name="Name18">
        <dgm:if name="Name19" axis="root ch" ptType="all node" func="cnt" op="equ" val="1">
          <dgm:layoutNode name="circ1TxSh" styleLbl="vennNode1">
            <dgm:alg type="tx">
              <dgm:param type="txAnchorHorzCh" val="ctr"/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20">
              <dgm:if name="Name21" func="var" arg="dir" op="equ" val="norm">
                <dgm:choose name="Name22">
                  <dgm:if name="Name23" axis="root ch" ptType="all node" func="cnt" op="lte" val="4">
                    <dgm:presOf axis="desOrSelf" ptType="node"/>
                  </dgm:if>
                  <dgm:else name="Name24">
                    <dgm:presOf/>
                  </dgm:else>
                </dgm:choose>
              </dgm:if>
              <dgm:else name="Name25">
                <dgm:choose name="Name26">
                  <dgm:if name="Name27" axis="root ch" ptType="all node" func="cnt" op="equ" val="2">
                    <dgm:presOf axis="root ch desOrSelf" ptType="all node node" st="1 2 1" cnt="1 1 0"/>
                  </dgm:if>
                  <dgm:else name="Name28">
                    <dgm:presOf axis="desOrSelf" ptType="node"/>
                  </dgm:else>
                </dgm:choose>
              </dgm:else>
            </dgm:choose>
            <dgm:constrLst>
              <dgm:constr type="tMarg"/>
              <dgm:constr type="bMarg"/>
              <dgm:constr type="lMarg"/>
              <dgm:constr type="rMarg"/>
              <dgm:constr type="primFontSz" val="65"/>
            </dgm:constrLst>
            <dgm:ruleLst>
              <dgm:rule type="primFontSz" val="5" fact="NaN" max="NaN"/>
            </dgm:ruleLst>
          </dgm:layoutNode>
        </dgm:if>
        <dgm:else name="Name29">
          <dgm:layoutNode name="circ1" styleLbl="vennNode1">
            <dgm:alg type="sp"/>
            <dgm:shape xmlns:r="http://schemas.openxmlformats.org/officeDocument/2006/relationships" type="ellipse" r:blip="">
              <dgm:adjLst/>
            </dgm:shape>
            <dgm:choose name="Name30">
              <dgm:if name="Name31" func="var" arg="dir" op="equ" val="norm">
                <dgm:choose name="Name32">
                  <dgm:if name="Name33" axis="root ch" ptType="all node" func="cnt" op="lte" val="4">
                    <dgm:presOf axis="desOrSelf" ptType="node"/>
                  </dgm:if>
                  <dgm:else name="Name34">
                    <dgm:presOf/>
                  </dgm:else>
                </dgm:choose>
              </dgm:if>
              <dgm:else name="Name35">
                <dgm:choose name="Name36">
                  <dgm:if name="Name37" axis="root ch" ptType="all node" func="cnt" op="equ" val="2">
                    <dgm:presOf axis="root ch desOrSelf" ptType="all node node" st="1 2 1" cnt="1 1 0"/>
                  </dgm:if>
                  <dgm:else name="Name38">
                    <dgm:choose name="Name39">
                      <dgm:if name="Name40" axis="root ch" ptType="all node" func="cnt" op="lte" val="4">
                        <dgm:presOf axis="desOrSelf" ptType="node"/>
                      </dgm:if>
                      <dgm:else name="Name41">
                        <dgm:presOf/>
                      </dgm:else>
                    </dgm:choose>
                  </dgm:else>
                </dgm:choose>
              </dgm:else>
            </dgm:choose>
            <dgm:constrLst/>
            <dgm:ruleLst/>
          </dgm:layoutNode>
          <dgm:layoutNode name="circ1Tx" styleLbl="revTx">
            <dgm:varLst>
              <dgm:chMax val="0"/>
              <dgm:chPref val="0"/>
              <dgm:bulletEnabled val="1"/>
            </dgm:varLst>
            <dgm:alg type="tx">
              <dgm:param type="txAnchorHorzCh" val="ctr"/>
              <dgm:param type="txAnchorVertCh" val="mid"/>
            </dgm:alg>
            <dgm:shape xmlns:r="http://schemas.openxmlformats.org/officeDocument/2006/relationships" type="rect" r:blip="" hideGeom="1">
              <dgm:adjLst/>
            </dgm:shape>
            <dgm:choose name="Name42">
              <dgm:if name="Name43" func="var" arg="dir" op="equ" val="norm">
                <dgm:presOf axis="desOrSelf" ptType="node"/>
              </dgm:if>
              <dgm:else name="Name44">
                <dgm:choose name="Name45">
                  <dgm:if name="Name46" axis="root ch" ptType="all node" func="cnt" op="equ" val="2">
                    <dgm:presOf axis="root ch desOrSelf" ptType="all node node" st="1 2 1" cnt="1 1 0"/>
                  </dgm:if>
                  <dgm:else name="Name47">
                    <dgm:presOf axis="desOrSelf" ptType="node"/>
                  </dgm:else>
                </dgm:choose>
              </dgm:else>
            </dgm:choose>
            <dgm:constrLst>
              <dgm:constr type="tMarg"/>
              <dgm:constr type="bMarg"/>
              <dgm:constr type="lMarg"/>
              <dgm:constr type="rMarg"/>
              <dgm:constr type="primFontSz" val="65"/>
            </dgm:constrLst>
            <dgm:ruleLst>
              <dgm:rule type="primFontSz" val="5" fact="NaN" max="NaN"/>
            </dgm:ruleLst>
          </dgm:layoutNode>
        </dgm:else>
      </dgm:choose>
    </dgm:forEach>
    <dgm:forEach name="Name48" axis="ch" ptType="node" st="2" cnt="1">
      <dgm:layoutNode name="circ2" styleLbl="vennNode1">
        <dgm:alg type="sp"/>
        <dgm:shape xmlns:r="http://schemas.openxmlformats.org/officeDocument/2006/relationships" type="ellipse" r:blip="">
          <dgm:adjLst/>
        </dgm:shape>
        <dgm:choose name="Name49">
          <dgm:if name="Name50" func="var" arg="dir" op="equ" val="norm">
            <dgm:choose name="Name51">
              <dgm:if name="Name52" axis="root ch" ptType="all node" func="cnt" op="lte" val="4">
                <dgm:presOf axis="desOrSelf" ptType="node"/>
              </dgm:if>
              <dgm:else name="Name53">
                <dgm:presOf/>
              </dgm:else>
            </dgm:choose>
          </dgm:if>
          <dgm:else name="Name54">
            <dgm:choose name="Name55">
              <dgm:if name="Name56" axis="root ch" ptType="all node" func="cnt" op="equ" val="2">
                <dgm:presOf axis="root ch desOrSelf" ptType="all node node" st="1 1 1" cnt="1 1 0"/>
              </dgm:if>
              <dgm:if name="Name57" axis="root ch" ptType="all node" func="cnt" op="equ" val="3">
                <dgm:presOf axis="root ch desOrSelf" ptType="all node node" st="1 3 1" cnt="1 1 0"/>
              </dgm:if>
              <dgm:if name="Name58" axis="root ch" ptType="all node" func="cnt" op="equ" val="4">
                <dgm:presOf axis="root ch desOrSelf" ptType="all node node" st="1 4 1" cnt="1 1 0"/>
              </dgm:if>
              <dgm:else name="Name59">
                <dgm:presOf/>
              </dgm:else>
            </dgm:choose>
          </dgm:else>
        </dgm:choose>
        <dgm:constrLst/>
        <dgm:ruleLst/>
      </dgm:layoutNode>
      <dgm:layoutNode name="circ2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60">
          <dgm:if name="Name61" func="var" arg="dir" op="equ" val="norm">
            <dgm:presOf axis="desOrSelf" ptType="node"/>
          </dgm:if>
          <dgm:else name="Name62">
            <dgm:choose name="Name63">
              <dgm:if name="Name64" axis="root ch" ptType="all node" func="cnt" op="equ" val="2">
                <dgm:presOf axis="root ch desOrSelf" ptType="all node node" st="1 1 1" cnt="1 1 0"/>
              </dgm:if>
              <dgm:if name="Name65" axis="root ch" ptType="all node" func="cnt" op="equ" val="3">
                <dgm:presOf axis="root ch desOrSelf" ptType="all node node" st="1 3 1" cnt="1 1 0"/>
              </dgm:if>
              <dgm:if name="Name66" axis="root ch" ptType="all node" func="cnt" op="equ" val="4">
                <dgm:presOf axis="root ch desOrSelf" ptType="all node node" st="1 4 1" cnt="1 1 0"/>
              </dgm:if>
              <dgm:if name="Name67" axis="root ch" ptType="all node" func="cnt" op="equ" val="5">
                <dgm:presOf axis="root ch desOrSelf" ptType="all node node" st="1 5 1" cnt="1 1 0"/>
              </dgm:if>
              <dgm:if name="Name68" axis="root ch" ptType="all node" func="cnt" op="equ" val="6">
                <dgm:presOf axis="root ch desOrSelf" ptType="all node node" st="1 6 1" cnt="1 1 0"/>
              </dgm:if>
              <dgm:else name="Name69">
                <dgm:presOf axis="root ch desOrSelf" ptType="all node node" st="1 7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70" axis="ch" ptType="node" st="3" cnt="1">
      <dgm:layoutNode name="circ3" styleLbl="vennNode1">
        <dgm:alg type="sp"/>
        <dgm:shape xmlns:r="http://schemas.openxmlformats.org/officeDocument/2006/relationships" type="ellipse" r:blip="">
          <dgm:adjLst/>
        </dgm:shape>
        <dgm:choose name="Name71">
          <dgm:if name="Name72" func="var" arg="dir" op="equ" val="norm">
            <dgm:choose name="Name73">
              <dgm:if name="Name74" axis="root ch" ptType="all node" func="cnt" op="lte" val="4">
                <dgm:presOf axis="desOrSelf" ptType="node"/>
              </dgm:if>
              <dgm:else name="Name75">
                <dgm:presOf/>
              </dgm:else>
            </dgm:choose>
          </dgm:if>
          <dgm:else name="Name76">
            <dgm:choose name="Name77">
              <dgm:if name="Name78" axis="root ch" ptType="all node" func="cnt" op="equ" val="3">
                <dgm:presOf axis="root ch desOrSelf" ptType="all node node" st="1 2 1" cnt="1 1 0"/>
              </dgm:if>
              <dgm:if name="Name79" axis="root ch" ptType="all node" func="cnt" op="equ" val="4">
                <dgm:presOf axis="root ch desOrSelf" ptType="all node node" st="1 3 1" cnt="1 1 0"/>
              </dgm:if>
              <dgm:else name="Name80">
                <dgm:presOf/>
              </dgm:else>
            </dgm:choose>
          </dgm:else>
        </dgm:choose>
        <dgm:constrLst/>
        <dgm:ruleLst/>
      </dgm:layoutNode>
      <dgm:layoutNode name="circ3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81">
          <dgm:if name="Name82" func="var" arg="dir" op="equ" val="norm">
            <dgm:presOf axis="desOrSelf" ptType="node"/>
          </dgm:if>
          <dgm:else name="Name83">
            <dgm:choose name="Name84">
              <dgm:if name="Name85" axis="root ch" ptType="all node" func="cnt" op="equ" val="3">
                <dgm:presOf axis="root ch desOrSelf" ptType="all node node" st="1 2 1" cnt="1 1 0"/>
              </dgm:if>
              <dgm:if name="Name86" axis="root ch" ptType="all node" func="cnt" op="equ" val="4">
                <dgm:presOf axis="root ch desOrSelf" ptType="all node node" st="1 3 1" cnt="1 1 0"/>
              </dgm:if>
              <dgm:if name="Name87" axis="root ch" ptType="all node" func="cnt" op="equ" val="5">
                <dgm:presOf axis="root ch desOrSelf" ptType="all node node" st="1 4 1" cnt="1 1 0"/>
              </dgm:if>
              <dgm:if name="Name88" axis="root ch" ptType="all node" func="cnt" op="equ" val="6">
                <dgm:presOf axis="root ch desOrSelf" ptType="all node node" st="1 5 1" cnt="1 1 0"/>
              </dgm:if>
              <dgm:else name="Name89">
                <dgm:presOf axis="root ch desOrSelf" ptType="all node node" st="1 6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90" axis="ch" ptType="node" st="4" cnt="1">
      <dgm:layoutNode name="circ4" styleLbl="vennNode1">
        <dgm:alg type="sp"/>
        <dgm:shape xmlns:r="http://schemas.openxmlformats.org/officeDocument/2006/relationships" type="ellipse" r:blip="">
          <dgm:adjLst/>
        </dgm:shape>
        <dgm:choose name="Name91">
          <dgm:if name="Name92" func="var" arg="dir" op="equ" val="norm">
            <dgm:choose name="Name93">
              <dgm:if name="Name94" axis="root ch" ptType="all node" func="cnt" op="lte" val="4">
                <dgm:presOf axis="desOrSelf" ptType="node"/>
              </dgm:if>
              <dgm:else name="Name95">
                <dgm:presOf/>
              </dgm:else>
            </dgm:choose>
          </dgm:if>
          <dgm:else name="Name96">
            <dgm:choose name="Name97">
              <dgm:if name="Name98" axis="root ch" ptType="all node" func="cnt" op="equ" val="4">
                <dgm:presOf axis="root ch desOrSelf" ptType="all node node" st="1 2 1" cnt="1 1 0"/>
              </dgm:if>
              <dgm:else name="Name99">
                <dgm:presOf/>
              </dgm:else>
            </dgm:choose>
          </dgm:else>
        </dgm:choose>
        <dgm:constrLst/>
        <dgm:ruleLst/>
      </dgm:layoutNode>
      <dgm:layoutNode name="circ4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00">
          <dgm:if name="Name101" func="var" arg="dir" op="equ" val="norm">
            <dgm:presOf axis="desOrSelf" ptType="node"/>
          </dgm:if>
          <dgm:else name="Name102">
            <dgm:choose name="Name103">
              <dgm:if name="Name104" axis="root ch" ptType="all node" func="cnt" op="equ" val="4">
                <dgm:presOf axis="root ch desOrSelf" ptType="all node node" st="1 2 1" cnt="1 1 0"/>
              </dgm:if>
              <dgm:if name="Name105" axis="root ch" ptType="all node" func="cnt" op="equ" val="5">
                <dgm:presOf axis="root ch desOrSelf" ptType="all node node" st="1 3 1" cnt="1 1 0"/>
              </dgm:if>
              <dgm:if name="Name106" axis="root ch" ptType="all node" func="cnt" op="equ" val="6">
                <dgm:presOf axis="root ch desOrSelf" ptType="all node node" st="1 4 1" cnt="1 1 0"/>
              </dgm:if>
              <dgm:else name="Name107">
                <dgm:presOf axis="root ch desOrSelf" ptType="all node node" st="1 5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108" axis="ch" ptType="node" st="5" cnt="1">
      <dgm:layoutNode name="circ5" styleLbl="vennNode1">
        <dgm:alg type="sp"/>
        <dgm:shape xmlns:r="http://schemas.openxmlformats.org/officeDocument/2006/relationships" type="ellipse" r:blip="">
          <dgm:adjLst/>
        </dgm:shape>
        <dgm:presOf/>
        <dgm:constrLst/>
        <dgm:ruleLst/>
      </dgm:layoutNode>
      <dgm:layoutNode name="circ5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09">
          <dgm:if name="Name110" func="var" arg="dir" op="equ" val="norm">
            <dgm:presOf axis="desOrSelf" ptType="node"/>
          </dgm:if>
          <dgm:else name="Name111">
            <dgm:choose name="Name112">
              <dgm:if name="Name113" axis="root ch" ptType="all node" func="cnt" op="equ" val="5">
                <dgm:presOf axis="root ch desOrSelf" ptType="all node node" st="1 2 1" cnt="1 1 0"/>
              </dgm:if>
              <dgm:if name="Name114" axis="root ch" ptType="all node" func="cnt" op="equ" val="6">
                <dgm:presOf axis="root ch desOrSelf" ptType="all node node" st="1 3 1" cnt="1 1 0"/>
              </dgm:if>
              <dgm:else name="Name115">
                <dgm:presOf axis="root ch desOrSelf" ptType="all node node" st="1 4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116" axis="ch" ptType="node" st="6" cnt="1">
      <dgm:layoutNode name="circ6" styleLbl="vennNode1">
        <dgm:alg type="sp"/>
        <dgm:shape xmlns:r="http://schemas.openxmlformats.org/officeDocument/2006/relationships" type="ellipse" r:blip="">
          <dgm:adjLst/>
        </dgm:shape>
        <dgm:presOf/>
        <dgm:constrLst/>
        <dgm:ruleLst/>
      </dgm:layoutNode>
      <dgm:layoutNode name="circ6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17">
          <dgm:if name="Name118" func="var" arg="dir" op="equ" val="norm">
            <dgm:presOf axis="desOrSelf" ptType="node"/>
          </dgm:if>
          <dgm:else name="Name119">
            <dgm:choose name="Name120">
              <dgm:if name="Name121" axis="root ch" ptType="all node" func="cnt" op="equ" val="6">
                <dgm:presOf axis="root ch desOrSelf" ptType="all node node" st="1 2 1" cnt="1 1 0"/>
              </dgm:if>
              <dgm:else name="Name122">
                <dgm:presOf axis="root ch desOrSelf" ptType="all node node" st="1 3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123" axis="ch" ptType="node" st="7" cnt="1">
      <dgm:layoutNode name="circ7" styleLbl="vennNode1">
        <dgm:alg type="sp"/>
        <dgm:shape xmlns:r="http://schemas.openxmlformats.org/officeDocument/2006/relationships" type="ellipse" r:blip="">
          <dgm:adjLst/>
        </dgm:shape>
        <dgm:presOf/>
        <dgm:constrLst/>
        <dgm:ruleLst/>
      </dgm:layoutNode>
      <dgm:layoutNode name="circ7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24">
          <dgm:if name="Name125" func="var" arg="dir" op="equ" val="norm">
            <dgm:presOf axis="desOrSelf" ptType="node"/>
          </dgm:if>
          <dgm:else name="Name126">
            <dgm:presOf axis="root ch desOrSelf" ptType="all node node" st="1 2 1" cnt="1 1 0"/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venn1">
  <dgm:title val=""/>
  <dgm:desc val=""/>
  <dgm:catLst>
    <dgm:cat type="relationship" pri="28000"/>
    <dgm:cat type="convert" pri="19000"/>
  </dgm:catLst>
  <dgm:sampData useDef="1">
    <dgm:dataModel>
      <dgm:ptLst/>
      <dgm:bg/>
      <dgm:whole/>
    </dgm:dataModel>
  </dgm:sampData>
  <dgm:styleData useDef="1">
    <dgm:dataModel>
      <dgm:ptLst/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clrData>
  <dgm:layoutNode name="compositeShape">
    <dgm:varLst>
      <dgm:chMax val="7"/>
      <dgm:dir/>
      <dgm:resizeHandles val="exact"/>
    </dgm:varLst>
    <dgm:choose name="Name0">
      <dgm:if name="Name1" axis="ch" ptType="node" func="cnt" op="equ" val="1">
        <dgm:alg type="composite">
          <dgm:param type="ar" val="1"/>
        </dgm:alg>
      </dgm:if>
      <dgm:if name="Name2" axis="ch" ptType="node" func="cnt" op="equ" val="2">
        <dgm:alg type="composite">
          <dgm:param type="ar" val="1.792"/>
        </dgm:alg>
      </dgm:if>
      <dgm:if name="Name3" axis="ch" ptType="node" func="cnt" op="equ" val="3">
        <dgm:alg type="composite">
          <dgm:param type="ar" val="1"/>
        </dgm:alg>
      </dgm:if>
      <dgm:if name="Name4" axis="ch" ptType="node" func="cnt" op="equ" val="4">
        <dgm:alg type="composite">
          <dgm:param type="ar" val="1"/>
        </dgm:alg>
      </dgm:if>
      <dgm:if name="Name5" axis="ch" ptType="node" func="cnt" op="equ" val="5">
        <dgm:alg type="composite">
          <dgm:param type="ar" val="1.4"/>
        </dgm:alg>
      </dgm:if>
      <dgm:if name="Name6" axis="ch" ptType="node" func="cnt" op="equ" val="6">
        <dgm:alg type="composite">
          <dgm:param type="ar" val="1.285"/>
        </dgm:alg>
      </dgm:if>
      <dgm:if name="Name7" axis="ch" ptType="node" func="cnt" op="equ" val="7">
        <dgm:alg type="composite">
          <dgm:param type="ar" val="1.359"/>
        </dgm:alg>
      </dgm:if>
      <dgm:else name="Name8">
        <dgm:alg type="composite">
          <dgm:param type="ar" val="1.359"/>
        </dgm:alg>
      </dgm:else>
    </dgm:choose>
    <dgm:shape xmlns:r="http://schemas.openxmlformats.org/officeDocument/2006/relationships" r:blip="">
      <dgm:adjLst/>
    </dgm:shape>
    <dgm:presOf/>
    <dgm:choose name="Name9">
      <dgm:if name="Name10" axis="ch" ptType="node" func="cnt" op="equ" val="1">
        <dgm:constrLst>
          <dgm:constr type="ctrX" for="ch" forName="circ1TxSh" refType="w" fact="0.5"/>
          <dgm:constr type="ctrY" for="ch" forName="circ1TxSh" refType="h" fact="0.5"/>
          <dgm:constr type="w" for="ch" forName="circ1TxSh" refType="w"/>
          <dgm:constr type="h" for="ch" forName="circ1TxSh" refType="h"/>
          <dgm:constr type="primFontSz" for="ch" ptType="node" op="equ"/>
        </dgm:constrLst>
      </dgm:if>
      <dgm:if name="Name11" axis="ch" ptType="node" func="cnt" op="equ" val="2">
        <dgm:constrLst>
          <dgm:constr type="ctrX" for="ch" forName="circ1" refType="w" fact="0.3"/>
          <dgm:constr type="ctrY" for="ch" forName="circ1" refType="h" fact="0.5"/>
          <dgm:constr type="w" for="ch" forName="circ1" refType="w" fact="0.555"/>
          <dgm:constr type="h" for="ch" forName="circ1" refType="h" fact="0.99456"/>
          <dgm:constr type="l" for="ch" forName="circ1Tx" refType="w" fact="0.1"/>
          <dgm:constr type="t" for="ch" forName="circ1Tx" refType="h" fact="0.12"/>
          <dgm:constr type="w" for="ch" forName="circ1Tx" refType="w" fact="0.32"/>
          <dgm:constr type="h" for="ch" forName="circ1Tx" refType="h" fact="0.76"/>
          <dgm:constr type="ctrX" for="ch" forName="circ2" refType="w" fact="0.7"/>
          <dgm:constr type="ctrY" for="ch" forName="circ2" refType="h" fact="0.5"/>
          <dgm:constr type="w" for="ch" forName="circ2" refType="w" fact="0.555"/>
          <dgm:constr type="h" for="ch" forName="circ2" refType="h" fact="0.99456"/>
          <dgm:constr type="l" for="ch" forName="circ2Tx" refType="w" fact="0.58"/>
          <dgm:constr type="t" for="ch" forName="circ2Tx" refType="h" fact="0.12"/>
          <dgm:constr type="w" for="ch" forName="circ2Tx" refType="w" fact="0.32"/>
          <dgm:constr type="h" for="ch" forName="circ2Tx" refType="h" fact="0.76"/>
          <dgm:constr type="primFontSz" for="ch" ptType="node" op="equ"/>
        </dgm:constrLst>
      </dgm:if>
      <dgm:if name="Name12" axis="ch" ptType="node" func="cnt" op="equ" val="3">
        <dgm:constrLst>
          <dgm:constr type="ctrX" for="ch" forName="circ1" refType="w" fact="0.5"/>
          <dgm:constr type="ctrY" for="ch" forName="circ1" refType="w" fact="0.25"/>
          <dgm:constr type="w" for="ch" forName="circ1" refType="w" fact="0.6"/>
          <dgm:constr type="h" for="ch" forName="circ1" refType="h" fact="0.6"/>
          <dgm:constr type="l" for="ch" forName="circ1Tx" refType="w" fact="0.28"/>
          <dgm:constr type="t" for="ch" forName="circ1Tx" refType="h" fact="0.055"/>
          <dgm:constr type="w" for="ch" forName="circ1Tx" refType="w" fact="0.44"/>
          <dgm:constr type="h" for="ch" forName="circ1Tx" refType="h" fact="0.27"/>
          <dgm:constr type="ctrX" for="ch" forName="circ2" refType="w" fact="0.7165"/>
          <dgm:constr type="ctrY" for="ch" forName="circ2" refType="w" fact="0.625"/>
          <dgm:constr type="w" for="ch" forName="circ2" refType="w" fact="0.6"/>
          <dgm:constr type="h" for="ch" forName="circ2" refType="h" fact="0.6"/>
          <dgm:constr type="l" for="ch" forName="circ2Tx" refType="w" fact="0.6"/>
          <dgm:constr type="t" for="ch" forName="circ2Tx" refType="h" fact="0.48"/>
          <dgm:constr type="w" for="ch" forName="circ2Tx" refType="w" fact="0.36"/>
          <dgm:constr type="h" for="ch" forName="circ2Tx" refType="h" fact="0.33"/>
          <dgm:constr type="ctrX" for="ch" forName="circ3" refType="w" fact="0.2835"/>
          <dgm:constr type="ctrY" for="ch" forName="circ3" refType="w" fact="0.625"/>
          <dgm:constr type="w" for="ch" forName="circ3" refType="w" fact="0.6"/>
          <dgm:constr type="h" for="ch" forName="circ3" refType="h" fact="0.6"/>
          <dgm:constr type="l" for="ch" forName="circ3Tx" refType="w" fact="0.04"/>
          <dgm:constr type="t" for="ch" forName="circ3Tx" refType="h" fact="0.48"/>
          <dgm:constr type="w" for="ch" forName="circ3Tx" refType="w" fact="0.36"/>
          <dgm:constr type="h" for="ch" forName="circ3Tx" refType="h" fact="0.33"/>
          <dgm:constr type="primFontSz" for="ch" ptType="node" op="equ"/>
        </dgm:constrLst>
      </dgm:if>
      <dgm:if name="Name13" axis="ch" ptType="node" func="cnt" op="equ" val="4">
        <dgm:constrLst>
          <dgm:constr type="ctrX" for="ch" forName="circ1" refType="w" fact="0.5"/>
          <dgm:constr type="ctrY" for="ch" forName="circ1" refType="w" fact="0.27"/>
          <dgm:constr type="w" for="ch" forName="circ1" refType="w" fact="0.52"/>
          <dgm:constr type="h" for="ch" forName="circ1" refType="h" fact="0.52"/>
          <dgm:constr type="l" for="ch" forName="circ1Tx" refType="w" fact="0.3"/>
          <dgm:constr type="t" for="ch" forName="circ1Tx" refType="h" fact="0.08"/>
          <dgm:constr type="w" for="ch" forName="circ1Tx" refType="w" fact="0.4"/>
          <dgm:constr type="h" for="ch" forName="circ1Tx" refType="h" fact="0.165"/>
          <dgm:constr type="ctrX" for="ch" forName="circ2" refType="w" fact="0.73"/>
          <dgm:constr type="ctrY" for="ch" forName="circ2" refType="w" fact="0.5"/>
          <dgm:constr type="w" for="ch" forName="circ2" refType="w" fact="0.52"/>
          <dgm:constr type="h" for="ch" forName="circ2" refType="h" fact="0.52"/>
          <dgm:constr type="r" for="ch" forName="circ2Tx" refType="w" fact="0.95"/>
          <dgm:constr type="t" for="ch" forName="circ2Tx" refType="h" fact="0.3"/>
          <dgm:constr type="w" for="ch" forName="circ2Tx" refType="w" fact="0.2"/>
          <dgm:constr type="h" for="ch" forName="circ2Tx" refType="h" fact="0.4"/>
          <dgm:constr type="ctrX" for="ch" forName="circ3" refType="w" fact="0.5"/>
          <dgm:constr type="ctrY" for="ch" forName="circ3" refType="w" fact="0.73"/>
          <dgm:constr type="w" for="ch" forName="circ3" refType="w" fact="0.52"/>
          <dgm:constr type="h" for="ch" forName="circ3" refType="h" fact="0.52"/>
          <dgm:constr type="l" for="ch" forName="circ3Tx" refType="w" fact="0.3"/>
          <dgm:constr type="b" for="ch" forName="circ3Tx" refType="h" fact="0.92"/>
          <dgm:constr type="w" for="ch" forName="circ3Tx" refType="w" fact="0.4"/>
          <dgm:constr type="h" for="ch" forName="circ3Tx" refType="h" fact="0.165"/>
          <dgm:constr type="ctrX" for="ch" forName="circ4" refType="w" fact="0.27"/>
          <dgm:constr type="ctrY" for="ch" forName="circ4" refType="h" fact="0.5"/>
          <dgm:constr type="w" for="ch" forName="circ4" refType="w" fact="0.52"/>
          <dgm:constr type="h" for="ch" forName="circ4" refType="h" fact="0.52"/>
          <dgm:constr type="l" for="ch" forName="circ4Tx" refType="w" fact="0.05"/>
          <dgm:constr type="t" for="ch" forName="circ4Tx" refType="h" fact="0.3"/>
          <dgm:constr type="w" for="ch" forName="circ4Tx" refType="w" fact="0.2"/>
          <dgm:constr type="h" for="ch" forName="circ4Tx" refType="h" fact="0.4"/>
          <dgm:constr type="primFontSz" for="ch" ptType="node" op="equ"/>
        </dgm:constrLst>
      </dgm:if>
      <dgm:if name="Name14" axis="ch" ptType="node" func="cnt" op="equ" val="5">
        <dgm:constrLst>
          <dgm:constr type="ctrX" for="ch" forName="circ1" refType="w" fact="0.5"/>
          <dgm:constr type="ctrY" for="ch" forName="circ1" refType="h" fact="0.46"/>
          <dgm:constr type="w" for="ch" forName="circ1" refType="w" fact="0.25"/>
          <dgm:constr type="h" for="ch" forName="circ1" refType="h" fact="0.35"/>
          <dgm:constr type="l" for="ch" forName="circ1Tx" refType="w" fact="0.355"/>
          <dgm:constr type="t" for="ch" forName="circ1Tx"/>
          <dgm:constr type="w" for="ch" forName="circ1Tx" refType="w" fact="0.29"/>
          <dgm:constr type="h" for="ch" forName="circ1Tx" refType="h" fact="0.235"/>
          <dgm:constr type="ctrX" for="ch" forName="circ2" refType="w" fact="0.5951"/>
          <dgm:constr type="ctrY" for="ch" forName="circ2" refType="h" fact="0.5567"/>
          <dgm:constr type="w" for="ch" forName="circ2" refType="w" fact="0.25"/>
          <dgm:constr type="h" for="ch" forName="circ2" refType="h" fact="0.35"/>
          <dgm:constr type="l" for="ch" forName="circ2Tx" refType="w" fact="0.74"/>
          <dgm:constr type="t" for="ch" forName="circ2Tx" refType="h" fact="0.31"/>
          <dgm:constr type="w" for="ch" forName="circ2Tx" refType="w" fact="0.26"/>
          <dgm:constr type="h" for="ch" forName="circ2Tx" refType="h" fact="0.255"/>
          <dgm:constr type="ctrX" for="ch" forName="circ3" refType="w" fact="0.5588"/>
          <dgm:constr type="ctrY" for="ch" forName="circ3" refType="h" fact="0.7133"/>
          <dgm:constr type="w" for="ch" forName="circ3" refType="w" fact="0.25"/>
          <dgm:constr type="h" for="ch" forName="circ3" refType="h" fact="0.35"/>
          <dgm:constr type="l" for="ch" forName="circ3Tx" refType="w" fact="0.7"/>
          <dgm:constr type="t" for="ch" forName="circ3Tx" refType="h" fact="0.745"/>
          <dgm:constr type="w" for="ch" forName="circ3Tx" refType="w" fact="0.26"/>
          <dgm:constr type="h" for="ch" forName="circ3Tx" refType="h" fact="0.255"/>
          <dgm:constr type="ctrX" for="ch" forName="circ4" refType="w" fact="0.4412"/>
          <dgm:constr type="ctrY" for="ch" forName="circ4" refType="h" fact="0.7133"/>
          <dgm:constr type="w" for="ch" forName="circ4" refType="w" fact="0.25"/>
          <dgm:constr type="h" for="ch" forName="circ4" refType="h" fact="0.35"/>
          <dgm:constr type="l" for="ch" forName="circ4Tx" refType="w" fact="0.04"/>
          <dgm:constr type="t" for="ch" forName="circ4Tx" refType="h" fact="0.745"/>
          <dgm:constr type="w" for="ch" forName="circ4Tx" refType="w" fact="0.26"/>
          <dgm:constr type="h" for="ch" forName="circ4Tx" refType="h" fact="0.255"/>
          <dgm:constr type="ctrX" for="ch" forName="circ5" refType="w" fact="0.4049"/>
          <dgm:constr type="ctrY" for="ch" forName="circ5" refType="h" fact="0.5567"/>
          <dgm:constr type="w" for="ch" forName="circ5" refType="w" fact="0.25"/>
          <dgm:constr type="h" for="ch" forName="circ5" refType="h" fact="0.35"/>
          <dgm:constr type="l" for="ch" forName="circ5Tx"/>
          <dgm:constr type="t" for="ch" forName="circ5Tx" refType="h" fact="0.31"/>
          <dgm:constr type="w" for="ch" forName="circ5Tx" refType="w" fact="0.26"/>
          <dgm:constr type="h" for="ch" forName="circ5Tx" refType="h" fact="0.255"/>
          <dgm:constr type="primFontSz" for="ch" ptType="node" op="equ"/>
        </dgm:constrLst>
      </dgm:if>
      <dgm:if name="Name15" axis="ch" ptType="node" func="cnt" op="equ" val="6">
        <dgm:constrLst>
          <dgm:constr type="ctrX" for="ch" forName="circ1" refType="w" fact="0.5"/>
          <dgm:constr type="ctrY" for="ch" forName="circ1" refType="h" fact="0.3844"/>
          <dgm:constr type="w" for="ch" forName="circ1" refType="w" fact="0.24"/>
          <dgm:constr type="h" for="ch" forName="circ1" refType="h" fact="0.3084"/>
          <dgm:constr type="l" for="ch" forName="circ1Tx" refType="w" fact="0.35"/>
          <dgm:constr type="t" for="ch" forName="circ1Tx"/>
          <dgm:constr type="w" for="ch" forName="circ1Tx" refType="w" fact="0.3"/>
          <dgm:constr type="h" for="ch" forName="circ1Tx" refType="h" fact="0.21"/>
          <dgm:constr type="ctrX" for="ch" forName="circ2" refType="w" fact="0.5779"/>
          <dgm:constr type="ctrY" for="ch" forName="circ2" refType="h" fact="0.4422"/>
          <dgm:constr type="w" for="ch" forName="circ2" refType="w" fact="0.24"/>
          <dgm:constr type="h" for="ch" forName="circ2" refType="h" fact="0.3084"/>
          <dgm:constr type="l" for="ch" forName="circ2Tx" refType="w" fact="0.7157"/>
          <dgm:constr type="t" for="ch" forName="circ2Tx" refType="h" fact="0.2"/>
          <dgm:constr type="w" for="ch" forName="circ2Tx" refType="w" fact="0.2843"/>
          <dgm:constr type="h" for="ch" forName="circ2Tx" refType="h" fact="0.23"/>
          <dgm:constr type="ctrX" for="ch" forName="circ3" refType="w" fact="0.5779"/>
          <dgm:constr type="ctrY" for="ch" forName="circ3" refType="h" fact="0.5578"/>
          <dgm:constr type="w" for="ch" forName="circ3" refType="w" fact="0.24"/>
          <dgm:constr type="h" for="ch" forName="circ3" refType="h" fact="0.3084"/>
          <dgm:constr type="l" for="ch" forName="circ3Tx" refType="w" fact="0.7157"/>
          <dgm:constr type="t" for="ch" forName="circ3Tx" refType="h" fact="0.543"/>
          <dgm:constr type="w" for="ch" forName="circ3Tx" refType="w" fact="0.2843"/>
          <dgm:constr type="h" for="ch" forName="circ3Tx" refType="h" fact="0.257"/>
          <dgm:constr type="ctrX" for="ch" forName="circ4" refType="w" fact="0.5"/>
          <dgm:constr type="ctrY" for="ch" forName="circ4" refType="h" fact="0.6157"/>
          <dgm:constr type="w" for="ch" forName="circ4" refType="w" fact="0.24"/>
          <dgm:constr type="h" for="ch" forName="circ4" refType="h" fact="0.3084"/>
          <dgm:constr type="l" for="ch" forName="circ4Tx" refType="w" fact="0.35"/>
          <dgm:constr type="t" for="ch" forName="circ4Tx" refType="h" fact="0.79"/>
          <dgm:constr type="w" for="ch" forName="circ4Tx" refType="w" fact="0.3"/>
          <dgm:constr type="h" for="ch" forName="circ4Tx" refType="h" fact="0.21"/>
          <dgm:constr type="ctrX" for="ch" forName="circ5" refType="w" fact="0.4221"/>
          <dgm:constr type="ctrY" for="ch" forName="circ5" refType="h" fact="0.5578"/>
          <dgm:constr type="w" for="ch" forName="circ5" refType="w" fact="0.24"/>
          <dgm:constr type="h" for="ch" forName="circ5" refType="h" fact="0.3084"/>
          <dgm:constr type="l" for="ch" forName="circ5Tx" refType="w" fact="0"/>
          <dgm:constr type="t" for="ch" forName="circ5Tx" refType="h" fact="0.543"/>
          <dgm:constr type="w" for="ch" forName="circ5Tx" refType="w" fact="0.2843"/>
          <dgm:constr type="h" for="ch" forName="circ5Tx" refType="h" fact="0.257"/>
          <dgm:constr type="ctrX" for="ch" forName="circ6" refType="w" fact="0.4221"/>
          <dgm:constr type="ctrY" for="ch" forName="circ6" refType="h" fact="0.4422"/>
          <dgm:constr type="w" for="ch" forName="circ6" refType="w" fact="0.24"/>
          <dgm:constr type="h" for="ch" forName="circ6" refType="h" fact="0.3084"/>
          <dgm:constr type="l" for="ch" forName="circ6Tx" refType="w" fact="0"/>
          <dgm:constr type="t" for="ch" forName="circ6Tx" refType="h" fact="0.2"/>
          <dgm:constr type="w" for="ch" forName="circ6Tx" refType="w" fact="0.2843"/>
          <dgm:constr type="h" for="ch" forName="circ6Tx" refType="h" fact="0.257"/>
          <dgm:constr type="primFontSz" for="ch" ptType="node" op="equ"/>
        </dgm:constrLst>
      </dgm:if>
      <dgm:else name="Name16">
        <dgm:constrLst>
          <dgm:constr type="ctrX" for="ch" forName="circ1" refType="w" fact="0.5"/>
          <dgm:constr type="ctrY" for="ch" forName="circ1" refType="h" fact="0.4177"/>
          <dgm:constr type="w" for="ch" forName="circ1" refType="w" fact="0.24"/>
          <dgm:constr type="h" for="ch" forName="circ1" refType="h" fact="0.3262"/>
          <dgm:constr type="l" for="ch" forName="circ1Tx" refType="w" fact="0.3625"/>
          <dgm:constr type="t" for="ch" forName="circ1Tx"/>
          <dgm:constr type="w" for="ch" forName="circ1Tx" refType="w" fact="0.275"/>
          <dgm:constr type="h" for="ch" forName="circ1Tx" refType="h" fact="0.2"/>
          <dgm:constr type="ctrX" for="ch" forName="circ2" refType="w" fact="0.5704"/>
          <dgm:constr type="ctrY" for="ch" forName="circ2" refType="h" fact="0.4637"/>
          <dgm:constr type="w" for="ch" forName="circ2" refType="w" fact="0.24"/>
          <dgm:constr type="h" for="ch" forName="circ2" refType="h" fact="0.3262"/>
          <dgm:constr type="l" for="ch" forName="circ2Tx" refType="w" fact="0.72"/>
          <dgm:constr type="t" for="ch" forName="circ2Tx" refType="h" fact="0.19"/>
          <dgm:constr type="w" for="ch" forName="circ2Tx" refType="w" fact="0.26"/>
          <dgm:constr type="h" for="ch" forName="circ2Tx" refType="h" fact="0.22"/>
          <dgm:constr type="ctrX" for="ch" forName="circ3" refType="w" fact="0.5877"/>
          <dgm:constr type="ctrY" for="ch" forName="circ3" refType="h" fact="0.5672"/>
          <dgm:constr type="w" for="ch" forName="circ3" refType="w" fact="0.24"/>
          <dgm:constr type="h" for="ch" forName="circ3" refType="h" fact="0.3262"/>
          <dgm:constr type="l" for="ch" forName="circ3Tx" refType="w" fact="0.745"/>
          <dgm:constr type="t" for="ch" forName="circ3Tx" refType="h" fact="0.47"/>
          <dgm:constr type="w" for="ch" forName="circ3Tx" refType="w" fact="0.255"/>
          <dgm:constr type="h" for="ch" forName="circ3Tx" refType="h" fact="0.235"/>
          <dgm:constr type="ctrX" for="ch" forName="circ4" refType="w" fact="0.539"/>
          <dgm:constr type="ctrY" for="ch" forName="circ4" refType="h" fact="0.6502"/>
          <dgm:constr type="w" for="ch" forName="circ4" refType="w" fact="0.24"/>
          <dgm:constr type="h" for="ch" forName="circ4" refType="h" fact="0.3262"/>
          <dgm:constr type="l" for="ch" forName="circ4Tx" refType="w" fact="0.635"/>
          <dgm:constr type="t" for="ch" forName="circ4Tx" refType="h" fact="0.785"/>
          <dgm:constr type="w" for="ch" forName="circ4Tx" refType="w" fact="0.275"/>
          <dgm:constr type="h" for="ch" forName="circ4Tx" refType="h" fact="0.215"/>
          <dgm:constr type="ctrX" for="ch" forName="circ5" refType="w" fact="0.461"/>
          <dgm:constr type="ctrY" for="ch" forName="circ5" refType="h" fact="0.6502"/>
          <dgm:constr type="w" for="ch" forName="circ5" refType="w" fact="0.24"/>
          <dgm:constr type="h" for="ch" forName="circ5" refType="h" fact="0.3262"/>
          <dgm:constr type="l" for="ch" forName="circ5Tx" refType="w" fact="0.09"/>
          <dgm:constr type="t" for="ch" forName="circ5Tx" refType="h" fact="0.785"/>
          <dgm:constr type="w" for="ch" forName="circ5Tx" refType="w" fact="0.275"/>
          <dgm:constr type="h" for="ch" forName="circ5Tx" refType="h" fact="0.215"/>
          <dgm:constr type="ctrX" for="ch" forName="circ6" refType="w" fact="0.4123"/>
          <dgm:constr type="ctrY" for="ch" forName="circ6" refType="h" fact="0.5672"/>
          <dgm:constr type="w" for="ch" forName="circ6" refType="w" fact="0.24"/>
          <dgm:constr type="h" for="ch" forName="circ6" refType="h" fact="0.3262"/>
          <dgm:constr type="l" for="ch" forName="circ6Tx"/>
          <dgm:constr type="t" for="ch" forName="circ6Tx" refType="h" fact="0.47"/>
          <dgm:constr type="w" for="ch" forName="circ6Tx" refType="w" fact="0.255"/>
          <dgm:constr type="h" for="ch" forName="circ6Tx" refType="h" fact="0.235"/>
          <dgm:constr type="ctrX" for="ch" forName="circ7" refType="w" fact="0.4296"/>
          <dgm:constr type="ctrY" for="ch" forName="circ7" refType="h" fact="0.4637"/>
          <dgm:constr type="w" for="ch" forName="circ7" refType="w" fact="0.24"/>
          <dgm:constr type="h" for="ch" forName="circ7" refType="h" fact="0.3262"/>
          <dgm:constr type="l" for="ch" forName="circ7Tx" refType="w" fact="0.02"/>
          <dgm:constr type="t" for="ch" forName="circ7Tx" refType="h" fact="0.19"/>
          <dgm:constr type="w" for="ch" forName="circ7Tx" refType="w" fact="0.26"/>
          <dgm:constr type="h" for="ch" forName="circ7Tx" refType="h" fact="0.22"/>
          <dgm:constr type="primFontSz" for="ch" ptType="node" op="equ"/>
        </dgm:constrLst>
      </dgm:else>
    </dgm:choose>
    <dgm:ruleLst/>
    <dgm:forEach name="Name17" axis="ch" ptType="node" cnt="1">
      <dgm:choose name="Name18">
        <dgm:if name="Name19" axis="root ch" ptType="all node" func="cnt" op="equ" val="1">
          <dgm:layoutNode name="circ1TxSh" styleLbl="vennNode1">
            <dgm:alg type="tx">
              <dgm:param type="txAnchorHorzCh" val="ctr"/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20">
              <dgm:if name="Name21" func="var" arg="dir" op="equ" val="norm">
                <dgm:choose name="Name22">
                  <dgm:if name="Name23" axis="root ch" ptType="all node" func="cnt" op="lte" val="4">
                    <dgm:presOf axis="desOrSelf" ptType="node"/>
                  </dgm:if>
                  <dgm:else name="Name24">
                    <dgm:presOf/>
                  </dgm:else>
                </dgm:choose>
              </dgm:if>
              <dgm:else name="Name25">
                <dgm:choose name="Name26">
                  <dgm:if name="Name27" axis="root ch" ptType="all node" func="cnt" op="equ" val="2">
                    <dgm:presOf axis="root ch desOrSelf" ptType="all node node" st="1 2 1" cnt="1 1 0"/>
                  </dgm:if>
                  <dgm:else name="Name28">
                    <dgm:presOf axis="desOrSelf" ptType="node"/>
                  </dgm:else>
                </dgm:choose>
              </dgm:else>
            </dgm:choose>
            <dgm:constrLst>
              <dgm:constr type="tMarg"/>
              <dgm:constr type="bMarg"/>
              <dgm:constr type="lMarg"/>
              <dgm:constr type="rMarg"/>
              <dgm:constr type="primFontSz" val="65"/>
            </dgm:constrLst>
            <dgm:ruleLst>
              <dgm:rule type="primFontSz" val="5" fact="NaN" max="NaN"/>
            </dgm:ruleLst>
          </dgm:layoutNode>
        </dgm:if>
        <dgm:else name="Name29">
          <dgm:layoutNode name="circ1" styleLbl="vennNode1">
            <dgm:alg type="sp"/>
            <dgm:shape xmlns:r="http://schemas.openxmlformats.org/officeDocument/2006/relationships" type="ellipse" r:blip="">
              <dgm:adjLst/>
            </dgm:shape>
            <dgm:choose name="Name30">
              <dgm:if name="Name31" func="var" arg="dir" op="equ" val="norm">
                <dgm:choose name="Name32">
                  <dgm:if name="Name33" axis="root ch" ptType="all node" func="cnt" op="lte" val="4">
                    <dgm:presOf axis="desOrSelf" ptType="node"/>
                  </dgm:if>
                  <dgm:else name="Name34">
                    <dgm:presOf/>
                  </dgm:else>
                </dgm:choose>
              </dgm:if>
              <dgm:else name="Name35">
                <dgm:choose name="Name36">
                  <dgm:if name="Name37" axis="root ch" ptType="all node" func="cnt" op="equ" val="2">
                    <dgm:presOf axis="root ch desOrSelf" ptType="all node node" st="1 2 1" cnt="1 1 0"/>
                  </dgm:if>
                  <dgm:else name="Name38">
                    <dgm:choose name="Name39">
                      <dgm:if name="Name40" axis="root ch" ptType="all node" func="cnt" op="lte" val="4">
                        <dgm:presOf axis="desOrSelf" ptType="node"/>
                      </dgm:if>
                      <dgm:else name="Name41">
                        <dgm:presOf/>
                      </dgm:else>
                    </dgm:choose>
                  </dgm:else>
                </dgm:choose>
              </dgm:else>
            </dgm:choose>
            <dgm:constrLst/>
            <dgm:ruleLst/>
          </dgm:layoutNode>
          <dgm:layoutNode name="circ1Tx" styleLbl="revTx">
            <dgm:varLst>
              <dgm:chMax val="0"/>
              <dgm:chPref val="0"/>
              <dgm:bulletEnabled val="1"/>
            </dgm:varLst>
            <dgm:alg type="tx">
              <dgm:param type="txAnchorHorzCh" val="ctr"/>
              <dgm:param type="txAnchorVertCh" val="mid"/>
            </dgm:alg>
            <dgm:shape xmlns:r="http://schemas.openxmlformats.org/officeDocument/2006/relationships" type="rect" r:blip="" hideGeom="1">
              <dgm:adjLst/>
            </dgm:shape>
            <dgm:choose name="Name42">
              <dgm:if name="Name43" func="var" arg="dir" op="equ" val="norm">
                <dgm:presOf axis="desOrSelf" ptType="node"/>
              </dgm:if>
              <dgm:else name="Name44">
                <dgm:choose name="Name45">
                  <dgm:if name="Name46" axis="root ch" ptType="all node" func="cnt" op="equ" val="2">
                    <dgm:presOf axis="root ch desOrSelf" ptType="all node node" st="1 2 1" cnt="1 1 0"/>
                  </dgm:if>
                  <dgm:else name="Name47">
                    <dgm:presOf axis="desOrSelf" ptType="node"/>
                  </dgm:else>
                </dgm:choose>
              </dgm:else>
            </dgm:choose>
            <dgm:constrLst>
              <dgm:constr type="tMarg"/>
              <dgm:constr type="bMarg"/>
              <dgm:constr type="lMarg"/>
              <dgm:constr type="rMarg"/>
              <dgm:constr type="primFontSz" val="65"/>
            </dgm:constrLst>
            <dgm:ruleLst>
              <dgm:rule type="primFontSz" val="5" fact="NaN" max="NaN"/>
            </dgm:ruleLst>
          </dgm:layoutNode>
        </dgm:else>
      </dgm:choose>
    </dgm:forEach>
    <dgm:forEach name="Name48" axis="ch" ptType="node" st="2" cnt="1">
      <dgm:layoutNode name="circ2" styleLbl="vennNode1">
        <dgm:alg type="sp"/>
        <dgm:shape xmlns:r="http://schemas.openxmlformats.org/officeDocument/2006/relationships" type="ellipse" r:blip="">
          <dgm:adjLst/>
        </dgm:shape>
        <dgm:choose name="Name49">
          <dgm:if name="Name50" func="var" arg="dir" op="equ" val="norm">
            <dgm:choose name="Name51">
              <dgm:if name="Name52" axis="root ch" ptType="all node" func="cnt" op="lte" val="4">
                <dgm:presOf axis="desOrSelf" ptType="node"/>
              </dgm:if>
              <dgm:else name="Name53">
                <dgm:presOf/>
              </dgm:else>
            </dgm:choose>
          </dgm:if>
          <dgm:else name="Name54">
            <dgm:choose name="Name55">
              <dgm:if name="Name56" axis="root ch" ptType="all node" func="cnt" op="equ" val="2">
                <dgm:presOf axis="root ch desOrSelf" ptType="all node node" st="1 1 1" cnt="1 1 0"/>
              </dgm:if>
              <dgm:if name="Name57" axis="root ch" ptType="all node" func="cnt" op="equ" val="3">
                <dgm:presOf axis="root ch desOrSelf" ptType="all node node" st="1 3 1" cnt="1 1 0"/>
              </dgm:if>
              <dgm:if name="Name58" axis="root ch" ptType="all node" func="cnt" op="equ" val="4">
                <dgm:presOf axis="root ch desOrSelf" ptType="all node node" st="1 4 1" cnt="1 1 0"/>
              </dgm:if>
              <dgm:else name="Name59">
                <dgm:presOf/>
              </dgm:else>
            </dgm:choose>
          </dgm:else>
        </dgm:choose>
        <dgm:constrLst/>
        <dgm:ruleLst/>
      </dgm:layoutNode>
      <dgm:layoutNode name="circ2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60">
          <dgm:if name="Name61" func="var" arg="dir" op="equ" val="norm">
            <dgm:presOf axis="desOrSelf" ptType="node"/>
          </dgm:if>
          <dgm:else name="Name62">
            <dgm:choose name="Name63">
              <dgm:if name="Name64" axis="root ch" ptType="all node" func="cnt" op="equ" val="2">
                <dgm:presOf axis="root ch desOrSelf" ptType="all node node" st="1 1 1" cnt="1 1 0"/>
              </dgm:if>
              <dgm:if name="Name65" axis="root ch" ptType="all node" func="cnt" op="equ" val="3">
                <dgm:presOf axis="root ch desOrSelf" ptType="all node node" st="1 3 1" cnt="1 1 0"/>
              </dgm:if>
              <dgm:if name="Name66" axis="root ch" ptType="all node" func="cnt" op="equ" val="4">
                <dgm:presOf axis="root ch desOrSelf" ptType="all node node" st="1 4 1" cnt="1 1 0"/>
              </dgm:if>
              <dgm:if name="Name67" axis="root ch" ptType="all node" func="cnt" op="equ" val="5">
                <dgm:presOf axis="root ch desOrSelf" ptType="all node node" st="1 5 1" cnt="1 1 0"/>
              </dgm:if>
              <dgm:if name="Name68" axis="root ch" ptType="all node" func="cnt" op="equ" val="6">
                <dgm:presOf axis="root ch desOrSelf" ptType="all node node" st="1 6 1" cnt="1 1 0"/>
              </dgm:if>
              <dgm:else name="Name69">
                <dgm:presOf axis="root ch desOrSelf" ptType="all node node" st="1 7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70" axis="ch" ptType="node" st="3" cnt="1">
      <dgm:layoutNode name="circ3" styleLbl="vennNode1">
        <dgm:alg type="sp"/>
        <dgm:shape xmlns:r="http://schemas.openxmlformats.org/officeDocument/2006/relationships" type="ellipse" r:blip="">
          <dgm:adjLst/>
        </dgm:shape>
        <dgm:choose name="Name71">
          <dgm:if name="Name72" func="var" arg="dir" op="equ" val="norm">
            <dgm:choose name="Name73">
              <dgm:if name="Name74" axis="root ch" ptType="all node" func="cnt" op="lte" val="4">
                <dgm:presOf axis="desOrSelf" ptType="node"/>
              </dgm:if>
              <dgm:else name="Name75">
                <dgm:presOf/>
              </dgm:else>
            </dgm:choose>
          </dgm:if>
          <dgm:else name="Name76">
            <dgm:choose name="Name77">
              <dgm:if name="Name78" axis="root ch" ptType="all node" func="cnt" op="equ" val="3">
                <dgm:presOf axis="root ch desOrSelf" ptType="all node node" st="1 2 1" cnt="1 1 0"/>
              </dgm:if>
              <dgm:if name="Name79" axis="root ch" ptType="all node" func="cnt" op="equ" val="4">
                <dgm:presOf axis="root ch desOrSelf" ptType="all node node" st="1 3 1" cnt="1 1 0"/>
              </dgm:if>
              <dgm:else name="Name80">
                <dgm:presOf/>
              </dgm:else>
            </dgm:choose>
          </dgm:else>
        </dgm:choose>
        <dgm:constrLst/>
        <dgm:ruleLst/>
      </dgm:layoutNode>
      <dgm:layoutNode name="circ3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81">
          <dgm:if name="Name82" func="var" arg="dir" op="equ" val="norm">
            <dgm:presOf axis="desOrSelf" ptType="node"/>
          </dgm:if>
          <dgm:else name="Name83">
            <dgm:choose name="Name84">
              <dgm:if name="Name85" axis="root ch" ptType="all node" func="cnt" op="equ" val="3">
                <dgm:presOf axis="root ch desOrSelf" ptType="all node node" st="1 2 1" cnt="1 1 0"/>
              </dgm:if>
              <dgm:if name="Name86" axis="root ch" ptType="all node" func="cnt" op="equ" val="4">
                <dgm:presOf axis="root ch desOrSelf" ptType="all node node" st="1 3 1" cnt="1 1 0"/>
              </dgm:if>
              <dgm:if name="Name87" axis="root ch" ptType="all node" func="cnt" op="equ" val="5">
                <dgm:presOf axis="root ch desOrSelf" ptType="all node node" st="1 4 1" cnt="1 1 0"/>
              </dgm:if>
              <dgm:if name="Name88" axis="root ch" ptType="all node" func="cnt" op="equ" val="6">
                <dgm:presOf axis="root ch desOrSelf" ptType="all node node" st="1 5 1" cnt="1 1 0"/>
              </dgm:if>
              <dgm:else name="Name89">
                <dgm:presOf axis="root ch desOrSelf" ptType="all node node" st="1 6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90" axis="ch" ptType="node" st="4" cnt="1">
      <dgm:layoutNode name="circ4" styleLbl="vennNode1">
        <dgm:alg type="sp"/>
        <dgm:shape xmlns:r="http://schemas.openxmlformats.org/officeDocument/2006/relationships" type="ellipse" r:blip="">
          <dgm:adjLst/>
        </dgm:shape>
        <dgm:choose name="Name91">
          <dgm:if name="Name92" func="var" arg="dir" op="equ" val="norm">
            <dgm:choose name="Name93">
              <dgm:if name="Name94" axis="root ch" ptType="all node" func="cnt" op="lte" val="4">
                <dgm:presOf axis="desOrSelf" ptType="node"/>
              </dgm:if>
              <dgm:else name="Name95">
                <dgm:presOf/>
              </dgm:else>
            </dgm:choose>
          </dgm:if>
          <dgm:else name="Name96">
            <dgm:choose name="Name97">
              <dgm:if name="Name98" axis="root ch" ptType="all node" func="cnt" op="equ" val="4">
                <dgm:presOf axis="root ch desOrSelf" ptType="all node node" st="1 2 1" cnt="1 1 0"/>
              </dgm:if>
              <dgm:else name="Name99">
                <dgm:presOf/>
              </dgm:else>
            </dgm:choose>
          </dgm:else>
        </dgm:choose>
        <dgm:constrLst/>
        <dgm:ruleLst/>
      </dgm:layoutNode>
      <dgm:layoutNode name="circ4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00">
          <dgm:if name="Name101" func="var" arg="dir" op="equ" val="norm">
            <dgm:presOf axis="desOrSelf" ptType="node"/>
          </dgm:if>
          <dgm:else name="Name102">
            <dgm:choose name="Name103">
              <dgm:if name="Name104" axis="root ch" ptType="all node" func="cnt" op="equ" val="4">
                <dgm:presOf axis="root ch desOrSelf" ptType="all node node" st="1 2 1" cnt="1 1 0"/>
              </dgm:if>
              <dgm:if name="Name105" axis="root ch" ptType="all node" func="cnt" op="equ" val="5">
                <dgm:presOf axis="root ch desOrSelf" ptType="all node node" st="1 3 1" cnt="1 1 0"/>
              </dgm:if>
              <dgm:if name="Name106" axis="root ch" ptType="all node" func="cnt" op="equ" val="6">
                <dgm:presOf axis="root ch desOrSelf" ptType="all node node" st="1 4 1" cnt="1 1 0"/>
              </dgm:if>
              <dgm:else name="Name107">
                <dgm:presOf axis="root ch desOrSelf" ptType="all node node" st="1 5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108" axis="ch" ptType="node" st="5" cnt="1">
      <dgm:layoutNode name="circ5" styleLbl="vennNode1">
        <dgm:alg type="sp"/>
        <dgm:shape xmlns:r="http://schemas.openxmlformats.org/officeDocument/2006/relationships" type="ellipse" r:blip="">
          <dgm:adjLst/>
        </dgm:shape>
        <dgm:presOf/>
        <dgm:constrLst/>
        <dgm:ruleLst/>
      </dgm:layoutNode>
      <dgm:layoutNode name="circ5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09">
          <dgm:if name="Name110" func="var" arg="dir" op="equ" val="norm">
            <dgm:presOf axis="desOrSelf" ptType="node"/>
          </dgm:if>
          <dgm:else name="Name111">
            <dgm:choose name="Name112">
              <dgm:if name="Name113" axis="root ch" ptType="all node" func="cnt" op="equ" val="5">
                <dgm:presOf axis="root ch desOrSelf" ptType="all node node" st="1 2 1" cnt="1 1 0"/>
              </dgm:if>
              <dgm:if name="Name114" axis="root ch" ptType="all node" func="cnt" op="equ" val="6">
                <dgm:presOf axis="root ch desOrSelf" ptType="all node node" st="1 3 1" cnt="1 1 0"/>
              </dgm:if>
              <dgm:else name="Name115">
                <dgm:presOf axis="root ch desOrSelf" ptType="all node node" st="1 4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116" axis="ch" ptType="node" st="6" cnt="1">
      <dgm:layoutNode name="circ6" styleLbl="vennNode1">
        <dgm:alg type="sp"/>
        <dgm:shape xmlns:r="http://schemas.openxmlformats.org/officeDocument/2006/relationships" type="ellipse" r:blip="">
          <dgm:adjLst/>
        </dgm:shape>
        <dgm:presOf/>
        <dgm:constrLst/>
        <dgm:ruleLst/>
      </dgm:layoutNode>
      <dgm:layoutNode name="circ6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17">
          <dgm:if name="Name118" func="var" arg="dir" op="equ" val="norm">
            <dgm:presOf axis="desOrSelf" ptType="node"/>
          </dgm:if>
          <dgm:else name="Name119">
            <dgm:choose name="Name120">
              <dgm:if name="Name121" axis="root ch" ptType="all node" func="cnt" op="equ" val="6">
                <dgm:presOf axis="root ch desOrSelf" ptType="all node node" st="1 2 1" cnt="1 1 0"/>
              </dgm:if>
              <dgm:else name="Name122">
                <dgm:presOf axis="root ch desOrSelf" ptType="all node node" st="1 3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123" axis="ch" ptType="node" st="7" cnt="1">
      <dgm:layoutNode name="circ7" styleLbl="vennNode1">
        <dgm:alg type="sp"/>
        <dgm:shape xmlns:r="http://schemas.openxmlformats.org/officeDocument/2006/relationships" type="ellipse" r:blip="">
          <dgm:adjLst/>
        </dgm:shape>
        <dgm:presOf/>
        <dgm:constrLst/>
        <dgm:ruleLst/>
      </dgm:layoutNode>
      <dgm:layoutNode name="circ7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24">
          <dgm:if name="Name125" func="var" arg="dir" op="equ" val="norm">
            <dgm:presOf axis="desOrSelf" ptType="node"/>
          </dgm:if>
          <dgm:else name="Name126">
            <dgm:presOf axis="root ch desOrSelf" ptType="all node node" st="1 2 1" cnt="1 1 0"/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venn1">
  <dgm:title val=""/>
  <dgm:desc val=""/>
  <dgm:catLst>
    <dgm:cat type="relationship" pri="28000"/>
    <dgm:cat type="convert" pri="19000"/>
  </dgm:catLst>
  <dgm:sampData useDef="1">
    <dgm:dataModel>
      <dgm:ptLst/>
      <dgm:bg/>
      <dgm:whole/>
    </dgm:dataModel>
  </dgm:sampData>
  <dgm:styleData useDef="1">
    <dgm:dataModel>
      <dgm:ptLst/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clrData>
  <dgm:layoutNode name="compositeShape">
    <dgm:varLst>
      <dgm:chMax val="7"/>
      <dgm:dir/>
      <dgm:resizeHandles val="exact"/>
    </dgm:varLst>
    <dgm:choose name="Name0">
      <dgm:if name="Name1" axis="ch" ptType="node" func="cnt" op="equ" val="1">
        <dgm:alg type="composite">
          <dgm:param type="ar" val="1"/>
        </dgm:alg>
      </dgm:if>
      <dgm:if name="Name2" axis="ch" ptType="node" func="cnt" op="equ" val="2">
        <dgm:alg type="composite">
          <dgm:param type="ar" val="1.792"/>
        </dgm:alg>
      </dgm:if>
      <dgm:if name="Name3" axis="ch" ptType="node" func="cnt" op="equ" val="3">
        <dgm:alg type="composite">
          <dgm:param type="ar" val="1"/>
        </dgm:alg>
      </dgm:if>
      <dgm:if name="Name4" axis="ch" ptType="node" func="cnt" op="equ" val="4">
        <dgm:alg type="composite">
          <dgm:param type="ar" val="1"/>
        </dgm:alg>
      </dgm:if>
      <dgm:if name="Name5" axis="ch" ptType="node" func="cnt" op="equ" val="5">
        <dgm:alg type="composite">
          <dgm:param type="ar" val="1.4"/>
        </dgm:alg>
      </dgm:if>
      <dgm:if name="Name6" axis="ch" ptType="node" func="cnt" op="equ" val="6">
        <dgm:alg type="composite">
          <dgm:param type="ar" val="1.285"/>
        </dgm:alg>
      </dgm:if>
      <dgm:if name="Name7" axis="ch" ptType="node" func="cnt" op="equ" val="7">
        <dgm:alg type="composite">
          <dgm:param type="ar" val="1.359"/>
        </dgm:alg>
      </dgm:if>
      <dgm:else name="Name8">
        <dgm:alg type="composite">
          <dgm:param type="ar" val="1.359"/>
        </dgm:alg>
      </dgm:else>
    </dgm:choose>
    <dgm:shape xmlns:r="http://schemas.openxmlformats.org/officeDocument/2006/relationships" r:blip="">
      <dgm:adjLst/>
    </dgm:shape>
    <dgm:presOf/>
    <dgm:choose name="Name9">
      <dgm:if name="Name10" axis="ch" ptType="node" func="cnt" op="equ" val="1">
        <dgm:constrLst>
          <dgm:constr type="ctrX" for="ch" forName="circ1TxSh" refType="w" fact="0.5"/>
          <dgm:constr type="ctrY" for="ch" forName="circ1TxSh" refType="h" fact="0.5"/>
          <dgm:constr type="w" for="ch" forName="circ1TxSh" refType="w"/>
          <dgm:constr type="h" for="ch" forName="circ1TxSh" refType="h"/>
          <dgm:constr type="primFontSz" for="ch" ptType="node" op="equ"/>
        </dgm:constrLst>
      </dgm:if>
      <dgm:if name="Name11" axis="ch" ptType="node" func="cnt" op="equ" val="2">
        <dgm:constrLst>
          <dgm:constr type="ctrX" for="ch" forName="circ1" refType="w" fact="0.3"/>
          <dgm:constr type="ctrY" for="ch" forName="circ1" refType="h" fact="0.5"/>
          <dgm:constr type="w" for="ch" forName="circ1" refType="w" fact="0.555"/>
          <dgm:constr type="h" for="ch" forName="circ1" refType="h" fact="0.99456"/>
          <dgm:constr type="l" for="ch" forName="circ1Tx" refType="w" fact="0.1"/>
          <dgm:constr type="t" for="ch" forName="circ1Tx" refType="h" fact="0.12"/>
          <dgm:constr type="w" for="ch" forName="circ1Tx" refType="w" fact="0.32"/>
          <dgm:constr type="h" for="ch" forName="circ1Tx" refType="h" fact="0.76"/>
          <dgm:constr type="ctrX" for="ch" forName="circ2" refType="w" fact="0.7"/>
          <dgm:constr type="ctrY" for="ch" forName="circ2" refType="h" fact="0.5"/>
          <dgm:constr type="w" for="ch" forName="circ2" refType="w" fact="0.555"/>
          <dgm:constr type="h" for="ch" forName="circ2" refType="h" fact="0.99456"/>
          <dgm:constr type="l" for="ch" forName="circ2Tx" refType="w" fact="0.58"/>
          <dgm:constr type="t" for="ch" forName="circ2Tx" refType="h" fact="0.12"/>
          <dgm:constr type="w" for="ch" forName="circ2Tx" refType="w" fact="0.32"/>
          <dgm:constr type="h" for="ch" forName="circ2Tx" refType="h" fact="0.76"/>
          <dgm:constr type="primFontSz" for="ch" ptType="node" op="equ"/>
        </dgm:constrLst>
      </dgm:if>
      <dgm:if name="Name12" axis="ch" ptType="node" func="cnt" op="equ" val="3">
        <dgm:constrLst>
          <dgm:constr type="ctrX" for="ch" forName="circ1" refType="w" fact="0.5"/>
          <dgm:constr type="ctrY" for="ch" forName="circ1" refType="w" fact="0.25"/>
          <dgm:constr type="w" for="ch" forName="circ1" refType="w" fact="0.6"/>
          <dgm:constr type="h" for="ch" forName="circ1" refType="h" fact="0.6"/>
          <dgm:constr type="l" for="ch" forName="circ1Tx" refType="w" fact="0.28"/>
          <dgm:constr type="t" for="ch" forName="circ1Tx" refType="h" fact="0.055"/>
          <dgm:constr type="w" for="ch" forName="circ1Tx" refType="w" fact="0.44"/>
          <dgm:constr type="h" for="ch" forName="circ1Tx" refType="h" fact="0.27"/>
          <dgm:constr type="ctrX" for="ch" forName="circ2" refType="w" fact="0.7165"/>
          <dgm:constr type="ctrY" for="ch" forName="circ2" refType="w" fact="0.625"/>
          <dgm:constr type="w" for="ch" forName="circ2" refType="w" fact="0.6"/>
          <dgm:constr type="h" for="ch" forName="circ2" refType="h" fact="0.6"/>
          <dgm:constr type="l" for="ch" forName="circ2Tx" refType="w" fact="0.6"/>
          <dgm:constr type="t" for="ch" forName="circ2Tx" refType="h" fact="0.48"/>
          <dgm:constr type="w" for="ch" forName="circ2Tx" refType="w" fact="0.36"/>
          <dgm:constr type="h" for="ch" forName="circ2Tx" refType="h" fact="0.33"/>
          <dgm:constr type="ctrX" for="ch" forName="circ3" refType="w" fact="0.2835"/>
          <dgm:constr type="ctrY" for="ch" forName="circ3" refType="w" fact="0.625"/>
          <dgm:constr type="w" for="ch" forName="circ3" refType="w" fact="0.6"/>
          <dgm:constr type="h" for="ch" forName="circ3" refType="h" fact="0.6"/>
          <dgm:constr type="l" for="ch" forName="circ3Tx" refType="w" fact="0.04"/>
          <dgm:constr type="t" for="ch" forName="circ3Tx" refType="h" fact="0.48"/>
          <dgm:constr type="w" for="ch" forName="circ3Tx" refType="w" fact="0.36"/>
          <dgm:constr type="h" for="ch" forName="circ3Tx" refType="h" fact="0.33"/>
          <dgm:constr type="primFontSz" for="ch" ptType="node" op="equ"/>
        </dgm:constrLst>
      </dgm:if>
      <dgm:if name="Name13" axis="ch" ptType="node" func="cnt" op="equ" val="4">
        <dgm:constrLst>
          <dgm:constr type="ctrX" for="ch" forName="circ1" refType="w" fact="0.5"/>
          <dgm:constr type="ctrY" for="ch" forName="circ1" refType="w" fact="0.27"/>
          <dgm:constr type="w" for="ch" forName="circ1" refType="w" fact="0.52"/>
          <dgm:constr type="h" for="ch" forName="circ1" refType="h" fact="0.52"/>
          <dgm:constr type="l" for="ch" forName="circ1Tx" refType="w" fact="0.3"/>
          <dgm:constr type="t" for="ch" forName="circ1Tx" refType="h" fact="0.08"/>
          <dgm:constr type="w" for="ch" forName="circ1Tx" refType="w" fact="0.4"/>
          <dgm:constr type="h" for="ch" forName="circ1Tx" refType="h" fact="0.165"/>
          <dgm:constr type="ctrX" for="ch" forName="circ2" refType="w" fact="0.73"/>
          <dgm:constr type="ctrY" for="ch" forName="circ2" refType="w" fact="0.5"/>
          <dgm:constr type="w" for="ch" forName="circ2" refType="w" fact="0.52"/>
          <dgm:constr type="h" for="ch" forName="circ2" refType="h" fact="0.52"/>
          <dgm:constr type="r" for="ch" forName="circ2Tx" refType="w" fact="0.95"/>
          <dgm:constr type="t" for="ch" forName="circ2Tx" refType="h" fact="0.3"/>
          <dgm:constr type="w" for="ch" forName="circ2Tx" refType="w" fact="0.2"/>
          <dgm:constr type="h" for="ch" forName="circ2Tx" refType="h" fact="0.4"/>
          <dgm:constr type="ctrX" for="ch" forName="circ3" refType="w" fact="0.5"/>
          <dgm:constr type="ctrY" for="ch" forName="circ3" refType="w" fact="0.73"/>
          <dgm:constr type="w" for="ch" forName="circ3" refType="w" fact="0.52"/>
          <dgm:constr type="h" for="ch" forName="circ3" refType="h" fact="0.52"/>
          <dgm:constr type="l" for="ch" forName="circ3Tx" refType="w" fact="0.3"/>
          <dgm:constr type="b" for="ch" forName="circ3Tx" refType="h" fact="0.92"/>
          <dgm:constr type="w" for="ch" forName="circ3Tx" refType="w" fact="0.4"/>
          <dgm:constr type="h" for="ch" forName="circ3Tx" refType="h" fact="0.165"/>
          <dgm:constr type="ctrX" for="ch" forName="circ4" refType="w" fact="0.27"/>
          <dgm:constr type="ctrY" for="ch" forName="circ4" refType="h" fact="0.5"/>
          <dgm:constr type="w" for="ch" forName="circ4" refType="w" fact="0.52"/>
          <dgm:constr type="h" for="ch" forName="circ4" refType="h" fact="0.52"/>
          <dgm:constr type="l" for="ch" forName="circ4Tx" refType="w" fact="0.05"/>
          <dgm:constr type="t" for="ch" forName="circ4Tx" refType="h" fact="0.3"/>
          <dgm:constr type="w" for="ch" forName="circ4Tx" refType="w" fact="0.2"/>
          <dgm:constr type="h" for="ch" forName="circ4Tx" refType="h" fact="0.4"/>
          <dgm:constr type="primFontSz" for="ch" ptType="node" op="equ"/>
        </dgm:constrLst>
      </dgm:if>
      <dgm:if name="Name14" axis="ch" ptType="node" func="cnt" op="equ" val="5">
        <dgm:constrLst>
          <dgm:constr type="ctrX" for="ch" forName="circ1" refType="w" fact="0.5"/>
          <dgm:constr type="ctrY" for="ch" forName="circ1" refType="h" fact="0.46"/>
          <dgm:constr type="w" for="ch" forName="circ1" refType="w" fact="0.25"/>
          <dgm:constr type="h" for="ch" forName="circ1" refType="h" fact="0.35"/>
          <dgm:constr type="l" for="ch" forName="circ1Tx" refType="w" fact="0.355"/>
          <dgm:constr type="t" for="ch" forName="circ1Tx"/>
          <dgm:constr type="w" for="ch" forName="circ1Tx" refType="w" fact="0.29"/>
          <dgm:constr type="h" for="ch" forName="circ1Tx" refType="h" fact="0.235"/>
          <dgm:constr type="ctrX" for="ch" forName="circ2" refType="w" fact="0.5951"/>
          <dgm:constr type="ctrY" for="ch" forName="circ2" refType="h" fact="0.5567"/>
          <dgm:constr type="w" for="ch" forName="circ2" refType="w" fact="0.25"/>
          <dgm:constr type="h" for="ch" forName="circ2" refType="h" fact="0.35"/>
          <dgm:constr type="l" for="ch" forName="circ2Tx" refType="w" fact="0.74"/>
          <dgm:constr type="t" for="ch" forName="circ2Tx" refType="h" fact="0.31"/>
          <dgm:constr type="w" for="ch" forName="circ2Tx" refType="w" fact="0.26"/>
          <dgm:constr type="h" for="ch" forName="circ2Tx" refType="h" fact="0.255"/>
          <dgm:constr type="ctrX" for="ch" forName="circ3" refType="w" fact="0.5588"/>
          <dgm:constr type="ctrY" for="ch" forName="circ3" refType="h" fact="0.7133"/>
          <dgm:constr type="w" for="ch" forName="circ3" refType="w" fact="0.25"/>
          <dgm:constr type="h" for="ch" forName="circ3" refType="h" fact="0.35"/>
          <dgm:constr type="l" for="ch" forName="circ3Tx" refType="w" fact="0.7"/>
          <dgm:constr type="t" for="ch" forName="circ3Tx" refType="h" fact="0.745"/>
          <dgm:constr type="w" for="ch" forName="circ3Tx" refType="w" fact="0.26"/>
          <dgm:constr type="h" for="ch" forName="circ3Tx" refType="h" fact="0.255"/>
          <dgm:constr type="ctrX" for="ch" forName="circ4" refType="w" fact="0.4412"/>
          <dgm:constr type="ctrY" for="ch" forName="circ4" refType="h" fact="0.7133"/>
          <dgm:constr type="w" for="ch" forName="circ4" refType="w" fact="0.25"/>
          <dgm:constr type="h" for="ch" forName="circ4" refType="h" fact="0.35"/>
          <dgm:constr type="l" for="ch" forName="circ4Tx" refType="w" fact="0.04"/>
          <dgm:constr type="t" for="ch" forName="circ4Tx" refType="h" fact="0.745"/>
          <dgm:constr type="w" for="ch" forName="circ4Tx" refType="w" fact="0.26"/>
          <dgm:constr type="h" for="ch" forName="circ4Tx" refType="h" fact="0.255"/>
          <dgm:constr type="ctrX" for="ch" forName="circ5" refType="w" fact="0.4049"/>
          <dgm:constr type="ctrY" for="ch" forName="circ5" refType="h" fact="0.5567"/>
          <dgm:constr type="w" for="ch" forName="circ5" refType="w" fact="0.25"/>
          <dgm:constr type="h" for="ch" forName="circ5" refType="h" fact="0.35"/>
          <dgm:constr type="l" for="ch" forName="circ5Tx"/>
          <dgm:constr type="t" for="ch" forName="circ5Tx" refType="h" fact="0.31"/>
          <dgm:constr type="w" for="ch" forName="circ5Tx" refType="w" fact="0.26"/>
          <dgm:constr type="h" for="ch" forName="circ5Tx" refType="h" fact="0.255"/>
          <dgm:constr type="primFontSz" for="ch" ptType="node" op="equ"/>
        </dgm:constrLst>
      </dgm:if>
      <dgm:if name="Name15" axis="ch" ptType="node" func="cnt" op="equ" val="6">
        <dgm:constrLst>
          <dgm:constr type="ctrX" for="ch" forName="circ1" refType="w" fact="0.5"/>
          <dgm:constr type="ctrY" for="ch" forName="circ1" refType="h" fact="0.3844"/>
          <dgm:constr type="w" for="ch" forName="circ1" refType="w" fact="0.24"/>
          <dgm:constr type="h" for="ch" forName="circ1" refType="h" fact="0.3084"/>
          <dgm:constr type="l" for="ch" forName="circ1Tx" refType="w" fact="0.35"/>
          <dgm:constr type="t" for="ch" forName="circ1Tx"/>
          <dgm:constr type="w" for="ch" forName="circ1Tx" refType="w" fact="0.3"/>
          <dgm:constr type="h" for="ch" forName="circ1Tx" refType="h" fact="0.21"/>
          <dgm:constr type="ctrX" for="ch" forName="circ2" refType="w" fact="0.5779"/>
          <dgm:constr type="ctrY" for="ch" forName="circ2" refType="h" fact="0.4422"/>
          <dgm:constr type="w" for="ch" forName="circ2" refType="w" fact="0.24"/>
          <dgm:constr type="h" for="ch" forName="circ2" refType="h" fact="0.3084"/>
          <dgm:constr type="l" for="ch" forName="circ2Tx" refType="w" fact="0.7157"/>
          <dgm:constr type="t" for="ch" forName="circ2Tx" refType="h" fact="0.2"/>
          <dgm:constr type="w" for="ch" forName="circ2Tx" refType="w" fact="0.2843"/>
          <dgm:constr type="h" for="ch" forName="circ2Tx" refType="h" fact="0.23"/>
          <dgm:constr type="ctrX" for="ch" forName="circ3" refType="w" fact="0.5779"/>
          <dgm:constr type="ctrY" for="ch" forName="circ3" refType="h" fact="0.5578"/>
          <dgm:constr type="w" for="ch" forName="circ3" refType="w" fact="0.24"/>
          <dgm:constr type="h" for="ch" forName="circ3" refType="h" fact="0.3084"/>
          <dgm:constr type="l" for="ch" forName="circ3Tx" refType="w" fact="0.7157"/>
          <dgm:constr type="t" for="ch" forName="circ3Tx" refType="h" fact="0.543"/>
          <dgm:constr type="w" for="ch" forName="circ3Tx" refType="w" fact="0.2843"/>
          <dgm:constr type="h" for="ch" forName="circ3Tx" refType="h" fact="0.257"/>
          <dgm:constr type="ctrX" for="ch" forName="circ4" refType="w" fact="0.5"/>
          <dgm:constr type="ctrY" for="ch" forName="circ4" refType="h" fact="0.6157"/>
          <dgm:constr type="w" for="ch" forName="circ4" refType="w" fact="0.24"/>
          <dgm:constr type="h" for="ch" forName="circ4" refType="h" fact="0.3084"/>
          <dgm:constr type="l" for="ch" forName="circ4Tx" refType="w" fact="0.35"/>
          <dgm:constr type="t" for="ch" forName="circ4Tx" refType="h" fact="0.79"/>
          <dgm:constr type="w" for="ch" forName="circ4Tx" refType="w" fact="0.3"/>
          <dgm:constr type="h" for="ch" forName="circ4Tx" refType="h" fact="0.21"/>
          <dgm:constr type="ctrX" for="ch" forName="circ5" refType="w" fact="0.4221"/>
          <dgm:constr type="ctrY" for="ch" forName="circ5" refType="h" fact="0.5578"/>
          <dgm:constr type="w" for="ch" forName="circ5" refType="w" fact="0.24"/>
          <dgm:constr type="h" for="ch" forName="circ5" refType="h" fact="0.3084"/>
          <dgm:constr type="l" for="ch" forName="circ5Tx" refType="w" fact="0"/>
          <dgm:constr type="t" for="ch" forName="circ5Tx" refType="h" fact="0.543"/>
          <dgm:constr type="w" for="ch" forName="circ5Tx" refType="w" fact="0.2843"/>
          <dgm:constr type="h" for="ch" forName="circ5Tx" refType="h" fact="0.257"/>
          <dgm:constr type="ctrX" for="ch" forName="circ6" refType="w" fact="0.4221"/>
          <dgm:constr type="ctrY" for="ch" forName="circ6" refType="h" fact="0.4422"/>
          <dgm:constr type="w" for="ch" forName="circ6" refType="w" fact="0.24"/>
          <dgm:constr type="h" for="ch" forName="circ6" refType="h" fact="0.3084"/>
          <dgm:constr type="l" for="ch" forName="circ6Tx" refType="w" fact="0"/>
          <dgm:constr type="t" for="ch" forName="circ6Tx" refType="h" fact="0.2"/>
          <dgm:constr type="w" for="ch" forName="circ6Tx" refType="w" fact="0.2843"/>
          <dgm:constr type="h" for="ch" forName="circ6Tx" refType="h" fact="0.257"/>
          <dgm:constr type="primFontSz" for="ch" ptType="node" op="equ"/>
        </dgm:constrLst>
      </dgm:if>
      <dgm:else name="Name16">
        <dgm:constrLst>
          <dgm:constr type="ctrX" for="ch" forName="circ1" refType="w" fact="0.5"/>
          <dgm:constr type="ctrY" for="ch" forName="circ1" refType="h" fact="0.4177"/>
          <dgm:constr type="w" for="ch" forName="circ1" refType="w" fact="0.24"/>
          <dgm:constr type="h" for="ch" forName="circ1" refType="h" fact="0.3262"/>
          <dgm:constr type="l" for="ch" forName="circ1Tx" refType="w" fact="0.3625"/>
          <dgm:constr type="t" for="ch" forName="circ1Tx"/>
          <dgm:constr type="w" for="ch" forName="circ1Tx" refType="w" fact="0.275"/>
          <dgm:constr type="h" for="ch" forName="circ1Tx" refType="h" fact="0.2"/>
          <dgm:constr type="ctrX" for="ch" forName="circ2" refType="w" fact="0.5704"/>
          <dgm:constr type="ctrY" for="ch" forName="circ2" refType="h" fact="0.4637"/>
          <dgm:constr type="w" for="ch" forName="circ2" refType="w" fact="0.24"/>
          <dgm:constr type="h" for="ch" forName="circ2" refType="h" fact="0.3262"/>
          <dgm:constr type="l" for="ch" forName="circ2Tx" refType="w" fact="0.72"/>
          <dgm:constr type="t" for="ch" forName="circ2Tx" refType="h" fact="0.19"/>
          <dgm:constr type="w" for="ch" forName="circ2Tx" refType="w" fact="0.26"/>
          <dgm:constr type="h" for="ch" forName="circ2Tx" refType="h" fact="0.22"/>
          <dgm:constr type="ctrX" for="ch" forName="circ3" refType="w" fact="0.5877"/>
          <dgm:constr type="ctrY" for="ch" forName="circ3" refType="h" fact="0.5672"/>
          <dgm:constr type="w" for="ch" forName="circ3" refType="w" fact="0.24"/>
          <dgm:constr type="h" for="ch" forName="circ3" refType="h" fact="0.3262"/>
          <dgm:constr type="l" for="ch" forName="circ3Tx" refType="w" fact="0.745"/>
          <dgm:constr type="t" for="ch" forName="circ3Tx" refType="h" fact="0.47"/>
          <dgm:constr type="w" for="ch" forName="circ3Tx" refType="w" fact="0.255"/>
          <dgm:constr type="h" for="ch" forName="circ3Tx" refType="h" fact="0.235"/>
          <dgm:constr type="ctrX" for="ch" forName="circ4" refType="w" fact="0.539"/>
          <dgm:constr type="ctrY" for="ch" forName="circ4" refType="h" fact="0.6502"/>
          <dgm:constr type="w" for="ch" forName="circ4" refType="w" fact="0.24"/>
          <dgm:constr type="h" for="ch" forName="circ4" refType="h" fact="0.3262"/>
          <dgm:constr type="l" for="ch" forName="circ4Tx" refType="w" fact="0.635"/>
          <dgm:constr type="t" for="ch" forName="circ4Tx" refType="h" fact="0.785"/>
          <dgm:constr type="w" for="ch" forName="circ4Tx" refType="w" fact="0.275"/>
          <dgm:constr type="h" for="ch" forName="circ4Tx" refType="h" fact="0.215"/>
          <dgm:constr type="ctrX" for="ch" forName="circ5" refType="w" fact="0.461"/>
          <dgm:constr type="ctrY" for="ch" forName="circ5" refType="h" fact="0.6502"/>
          <dgm:constr type="w" for="ch" forName="circ5" refType="w" fact="0.24"/>
          <dgm:constr type="h" for="ch" forName="circ5" refType="h" fact="0.3262"/>
          <dgm:constr type="l" for="ch" forName="circ5Tx" refType="w" fact="0.09"/>
          <dgm:constr type="t" for="ch" forName="circ5Tx" refType="h" fact="0.785"/>
          <dgm:constr type="w" for="ch" forName="circ5Tx" refType="w" fact="0.275"/>
          <dgm:constr type="h" for="ch" forName="circ5Tx" refType="h" fact="0.215"/>
          <dgm:constr type="ctrX" for="ch" forName="circ6" refType="w" fact="0.4123"/>
          <dgm:constr type="ctrY" for="ch" forName="circ6" refType="h" fact="0.5672"/>
          <dgm:constr type="w" for="ch" forName="circ6" refType="w" fact="0.24"/>
          <dgm:constr type="h" for="ch" forName="circ6" refType="h" fact="0.3262"/>
          <dgm:constr type="l" for="ch" forName="circ6Tx"/>
          <dgm:constr type="t" for="ch" forName="circ6Tx" refType="h" fact="0.47"/>
          <dgm:constr type="w" for="ch" forName="circ6Tx" refType="w" fact="0.255"/>
          <dgm:constr type="h" for="ch" forName="circ6Tx" refType="h" fact="0.235"/>
          <dgm:constr type="ctrX" for="ch" forName="circ7" refType="w" fact="0.4296"/>
          <dgm:constr type="ctrY" for="ch" forName="circ7" refType="h" fact="0.4637"/>
          <dgm:constr type="w" for="ch" forName="circ7" refType="w" fact="0.24"/>
          <dgm:constr type="h" for="ch" forName="circ7" refType="h" fact="0.3262"/>
          <dgm:constr type="l" for="ch" forName="circ7Tx" refType="w" fact="0.02"/>
          <dgm:constr type="t" for="ch" forName="circ7Tx" refType="h" fact="0.19"/>
          <dgm:constr type="w" for="ch" forName="circ7Tx" refType="w" fact="0.26"/>
          <dgm:constr type="h" for="ch" forName="circ7Tx" refType="h" fact="0.22"/>
          <dgm:constr type="primFontSz" for="ch" ptType="node" op="equ"/>
        </dgm:constrLst>
      </dgm:else>
    </dgm:choose>
    <dgm:ruleLst/>
    <dgm:forEach name="Name17" axis="ch" ptType="node" cnt="1">
      <dgm:choose name="Name18">
        <dgm:if name="Name19" axis="root ch" ptType="all node" func="cnt" op="equ" val="1">
          <dgm:layoutNode name="circ1TxSh" styleLbl="vennNode1">
            <dgm:alg type="tx">
              <dgm:param type="txAnchorHorzCh" val="ctr"/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choose name="Name20">
              <dgm:if name="Name21" func="var" arg="dir" op="equ" val="norm">
                <dgm:choose name="Name22">
                  <dgm:if name="Name23" axis="root ch" ptType="all node" func="cnt" op="lte" val="4">
                    <dgm:presOf axis="desOrSelf" ptType="node"/>
                  </dgm:if>
                  <dgm:else name="Name24">
                    <dgm:presOf/>
                  </dgm:else>
                </dgm:choose>
              </dgm:if>
              <dgm:else name="Name25">
                <dgm:choose name="Name26">
                  <dgm:if name="Name27" axis="root ch" ptType="all node" func="cnt" op="equ" val="2">
                    <dgm:presOf axis="root ch desOrSelf" ptType="all node node" st="1 2 1" cnt="1 1 0"/>
                  </dgm:if>
                  <dgm:else name="Name28">
                    <dgm:presOf axis="desOrSelf" ptType="node"/>
                  </dgm:else>
                </dgm:choose>
              </dgm:else>
            </dgm:choose>
            <dgm:constrLst>
              <dgm:constr type="tMarg"/>
              <dgm:constr type="bMarg"/>
              <dgm:constr type="lMarg"/>
              <dgm:constr type="rMarg"/>
              <dgm:constr type="primFontSz" val="65"/>
            </dgm:constrLst>
            <dgm:ruleLst>
              <dgm:rule type="primFontSz" val="5" fact="NaN" max="NaN"/>
            </dgm:ruleLst>
          </dgm:layoutNode>
        </dgm:if>
        <dgm:else name="Name29">
          <dgm:layoutNode name="circ1" styleLbl="vennNode1">
            <dgm:alg type="sp"/>
            <dgm:shape xmlns:r="http://schemas.openxmlformats.org/officeDocument/2006/relationships" type="ellipse" r:blip="">
              <dgm:adjLst/>
            </dgm:shape>
            <dgm:choose name="Name30">
              <dgm:if name="Name31" func="var" arg="dir" op="equ" val="norm">
                <dgm:choose name="Name32">
                  <dgm:if name="Name33" axis="root ch" ptType="all node" func="cnt" op="lte" val="4">
                    <dgm:presOf axis="desOrSelf" ptType="node"/>
                  </dgm:if>
                  <dgm:else name="Name34">
                    <dgm:presOf/>
                  </dgm:else>
                </dgm:choose>
              </dgm:if>
              <dgm:else name="Name35">
                <dgm:choose name="Name36">
                  <dgm:if name="Name37" axis="root ch" ptType="all node" func="cnt" op="equ" val="2">
                    <dgm:presOf axis="root ch desOrSelf" ptType="all node node" st="1 2 1" cnt="1 1 0"/>
                  </dgm:if>
                  <dgm:else name="Name38">
                    <dgm:choose name="Name39">
                      <dgm:if name="Name40" axis="root ch" ptType="all node" func="cnt" op="lte" val="4">
                        <dgm:presOf axis="desOrSelf" ptType="node"/>
                      </dgm:if>
                      <dgm:else name="Name41">
                        <dgm:presOf/>
                      </dgm:else>
                    </dgm:choose>
                  </dgm:else>
                </dgm:choose>
              </dgm:else>
            </dgm:choose>
            <dgm:constrLst/>
            <dgm:ruleLst/>
          </dgm:layoutNode>
          <dgm:layoutNode name="circ1Tx" styleLbl="revTx">
            <dgm:varLst>
              <dgm:chMax val="0"/>
              <dgm:chPref val="0"/>
              <dgm:bulletEnabled val="1"/>
            </dgm:varLst>
            <dgm:alg type="tx">
              <dgm:param type="txAnchorHorzCh" val="ctr"/>
              <dgm:param type="txAnchorVertCh" val="mid"/>
            </dgm:alg>
            <dgm:shape xmlns:r="http://schemas.openxmlformats.org/officeDocument/2006/relationships" type="rect" r:blip="" hideGeom="1">
              <dgm:adjLst/>
            </dgm:shape>
            <dgm:choose name="Name42">
              <dgm:if name="Name43" func="var" arg="dir" op="equ" val="norm">
                <dgm:presOf axis="desOrSelf" ptType="node"/>
              </dgm:if>
              <dgm:else name="Name44">
                <dgm:choose name="Name45">
                  <dgm:if name="Name46" axis="root ch" ptType="all node" func="cnt" op="equ" val="2">
                    <dgm:presOf axis="root ch desOrSelf" ptType="all node node" st="1 2 1" cnt="1 1 0"/>
                  </dgm:if>
                  <dgm:else name="Name47">
                    <dgm:presOf axis="desOrSelf" ptType="node"/>
                  </dgm:else>
                </dgm:choose>
              </dgm:else>
            </dgm:choose>
            <dgm:constrLst>
              <dgm:constr type="tMarg"/>
              <dgm:constr type="bMarg"/>
              <dgm:constr type="lMarg"/>
              <dgm:constr type="rMarg"/>
              <dgm:constr type="primFontSz" val="65"/>
            </dgm:constrLst>
            <dgm:ruleLst>
              <dgm:rule type="primFontSz" val="5" fact="NaN" max="NaN"/>
            </dgm:ruleLst>
          </dgm:layoutNode>
        </dgm:else>
      </dgm:choose>
    </dgm:forEach>
    <dgm:forEach name="Name48" axis="ch" ptType="node" st="2" cnt="1">
      <dgm:layoutNode name="circ2" styleLbl="vennNode1">
        <dgm:alg type="sp"/>
        <dgm:shape xmlns:r="http://schemas.openxmlformats.org/officeDocument/2006/relationships" type="ellipse" r:blip="">
          <dgm:adjLst/>
        </dgm:shape>
        <dgm:choose name="Name49">
          <dgm:if name="Name50" func="var" arg="dir" op="equ" val="norm">
            <dgm:choose name="Name51">
              <dgm:if name="Name52" axis="root ch" ptType="all node" func="cnt" op="lte" val="4">
                <dgm:presOf axis="desOrSelf" ptType="node"/>
              </dgm:if>
              <dgm:else name="Name53">
                <dgm:presOf/>
              </dgm:else>
            </dgm:choose>
          </dgm:if>
          <dgm:else name="Name54">
            <dgm:choose name="Name55">
              <dgm:if name="Name56" axis="root ch" ptType="all node" func="cnt" op="equ" val="2">
                <dgm:presOf axis="root ch desOrSelf" ptType="all node node" st="1 1 1" cnt="1 1 0"/>
              </dgm:if>
              <dgm:if name="Name57" axis="root ch" ptType="all node" func="cnt" op="equ" val="3">
                <dgm:presOf axis="root ch desOrSelf" ptType="all node node" st="1 3 1" cnt="1 1 0"/>
              </dgm:if>
              <dgm:if name="Name58" axis="root ch" ptType="all node" func="cnt" op="equ" val="4">
                <dgm:presOf axis="root ch desOrSelf" ptType="all node node" st="1 4 1" cnt="1 1 0"/>
              </dgm:if>
              <dgm:else name="Name59">
                <dgm:presOf/>
              </dgm:else>
            </dgm:choose>
          </dgm:else>
        </dgm:choose>
        <dgm:constrLst/>
        <dgm:ruleLst/>
      </dgm:layoutNode>
      <dgm:layoutNode name="circ2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60">
          <dgm:if name="Name61" func="var" arg="dir" op="equ" val="norm">
            <dgm:presOf axis="desOrSelf" ptType="node"/>
          </dgm:if>
          <dgm:else name="Name62">
            <dgm:choose name="Name63">
              <dgm:if name="Name64" axis="root ch" ptType="all node" func="cnt" op="equ" val="2">
                <dgm:presOf axis="root ch desOrSelf" ptType="all node node" st="1 1 1" cnt="1 1 0"/>
              </dgm:if>
              <dgm:if name="Name65" axis="root ch" ptType="all node" func="cnt" op="equ" val="3">
                <dgm:presOf axis="root ch desOrSelf" ptType="all node node" st="1 3 1" cnt="1 1 0"/>
              </dgm:if>
              <dgm:if name="Name66" axis="root ch" ptType="all node" func="cnt" op="equ" val="4">
                <dgm:presOf axis="root ch desOrSelf" ptType="all node node" st="1 4 1" cnt="1 1 0"/>
              </dgm:if>
              <dgm:if name="Name67" axis="root ch" ptType="all node" func="cnt" op="equ" val="5">
                <dgm:presOf axis="root ch desOrSelf" ptType="all node node" st="1 5 1" cnt="1 1 0"/>
              </dgm:if>
              <dgm:if name="Name68" axis="root ch" ptType="all node" func="cnt" op="equ" val="6">
                <dgm:presOf axis="root ch desOrSelf" ptType="all node node" st="1 6 1" cnt="1 1 0"/>
              </dgm:if>
              <dgm:else name="Name69">
                <dgm:presOf axis="root ch desOrSelf" ptType="all node node" st="1 7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70" axis="ch" ptType="node" st="3" cnt="1">
      <dgm:layoutNode name="circ3" styleLbl="vennNode1">
        <dgm:alg type="sp"/>
        <dgm:shape xmlns:r="http://schemas.openxmlformats.org/officeDocument/2006/relationships" type="ellipse" r:blip="">
          <dgm:adjLst/>
        </dgm:shape>
        <dgm:choose name="Name71">
          <dgm:if name="Name72" func="var" arg="dir" op="equ" val="norm">
            <dgm:choose name="Name73">
              <dgm:if name="Name74" axis="root ch" ptType="all node" func="cnt" op="lte" val="4">
                <dgm:presOf axis="desOrSelf" ptType="node"/>
              </dgm:if>
              <dgm:else name="Name75">
                <dgm:presOf/>
              </dgm:else>
            </dgm:choose>
          </dgm:if>
          <dgm:else name="Name76">
            <dgm:choose name="Name77">
              <dgm:if name="Name78" axis="root ch" ptType="all node" func="cnt" op="equ" val="3">
                <dgm:presOf axis="root ch desOrSelf" ptType="all node node" st="1 2 1" cnt="1 1 0"/>
              </dgm:if>
              <dgm:if name="Name79" axis="root ch" ptType="all node" func="cnt" op="equ" val="4">
                <dgm:presOf axis="root ch desOrSelf" ptType="all node node" st="1 3 1" cnt="1 1 0"/>
              </dgm:if>
              <dgm:else name="Name80">
                <dgm:presOf/>
              </dgm:else>
            </dgm:choose>
          </dgm:else>
        </dgm:choose>
        <dgm:constrLst/>
        <dgm:ruleLst/>
      </dgm:layoutNode>
      <dgm:layoutNode name="circ3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81">
          <dgm:if name="Name82" func="var" arg="dir" op="equ" val="norm">
            <dgm:presOf axis="desOrSelf" ptType="node"/>
          </dgm:if>
          <dgm:else name="Name83">
            <dgm:choose name="Name84">
              <dgm:if name="Name85" axis="root ch" ptType="all node" func="cnt" op="equ" val="3">
                <dgm:presOf axis="root ch desOrSelf" ptType="all node node" st="1 2 1" cnt="1 1 0"/>
              </dgm:if>
              <dgm:if name="Name86" axis="root ch" ptType="all node" func="cnt" op="equ" val="4">
                <dgm:presOf axis="root ch desOrSelf" ptType="all node node" st="1 3 1" cnt="1 1 0"/>
              </dgm:if>
              <dgm:if name="Name87" axis="root ch" ptType="all node" func="cnt" op="equ" val="5">
                <dgm:presOf axis="root ch desOrSelf" ptType="all node node" st="1 4 1" cnt="1 1 0"/>
              </dgm:if>
              <dgm:if name="Name88" axis="root ch" ptType="all node" func="cnt" op="equ" val="6">
                <dgm:presOf axis="root ch desOrSelf" ptType="all node node" st="1 5 1" cnt="1 1 0"/>
              </dgm:if>
              <dgm:else name="Name89">
                <dgm:presOf axis="root ch desOrSelf" ptType="all node node" st="1 6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90" axis="ch" ptType="node" st="4" cnt="1">
      <dgm:layoutNode name="circ4" styleLbl="vennNode1">
        <dgm:alg type="sp"/>
        <dgm:shape xmlns:r="http://schemas.openxmlformats.org/officeDocument/2006/relationships" type="ellipse" r:blip="">
          <dgm:adjLst/>
        </dgm:shape>
        <dgm:choose name="Name91">
          <dgm:if name="Name92" func="var" arg="dir" op="equ" val="norm">
            <dgm:choose name="Name93">
              <dgm:if name="Name94" axis="root ch" ptType="all node" func="cnt" op="lte" val="4">
                <dgm:presOf axis="desOrSelf" ptType="node"/>
              </dgm:if>
              <dgm:else name="Name95">
                <dgm:presOf/>
              </dgm:else>
            </dgm:choose>
          </dgm:if>
          <dgm:else name="Name96">
            <dgm:choose name="Name97">
              <dgm:if name="Name98" axis="root ch" ptType="all node" func="cnt" op="equ" val="4">
                <dgm:presOf axis="root ch desOrSelf" ptType="all node node" st="1 2 1" cnt="1 1 0"/>
              </dgm:if>
              <dgm:else name="Name99">
                <dgm:presOf/>
              </dgm:else>
            </dgm:choose>
          </dgm:else>
        </dgm:choose>
        <dgm:constrLst/>
        <dgm:ruleLst/>
      </dgm:layoutNode>
      <dgm:layoutNode name="circ4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00">
          <dgm:if name="Name101" func="var" arg="dir" op="equ" val="norm">
            <dgm:presOf axis="desOrSelf" ptType="node"/>
          </dgm:if>
          <dgm:else name="Name102">
            <dgm:choose name="Name103">
              <dgm:if name="Name104" axis="root ch" ptType="all node" func="cnt" op="equ" val="4">
                <dgm:presOf axis="root ch desOrSelf" ptType="all node node" st="1 2 1" cnt="1 1 0"/>
              </dgm:if>
              <dgm:if name="Name105" axis="root ch" ptType="all node" func="cnt" op="equ" val="5">
                <dgm:presOf axis="root ch desOrSelf" ptType="all node node" st="1 3 1" cnt="1 1 0"/>
              </dgm:if>
              <dgm:if name="Name106" axis="root ch" ptType="all node" func="cnt" op="equ" val="6">
                <dgm:presOf axis="root ch desOrSelf" ptType="all node node" st="1 4 1" cnt="1 1 0"/>
              </dgm:if>
              <dgm:else name="Name107">
                <dgm:presOf axis="root ch desOrSelf" ptType="all node node" st="1 5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108" axis="ch" ptType="node" st="5" cnt="1">
      <dgm:layoutNode name="circ5" styleLbl="vennNode1">
        <dgm:alg type="sp"/>
        <dgm:shape xmlns:r="http://schemas.openxmlformats.org/officeDocument/2006/relationships" type="ellipse" r:blip="">
          <dgm:adjLst/>
        </dgm:shape>
        <dgm:presOf/>
        <dgm:constrLst/>
        <dgm:ruleLst/>
      </dgm:layoutNode>
      <dgm:layoutNode name="circ5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09">
          <dgm:if name="Name110" func="var" arg="dir" op="equ" val="norm">
            <dgm:presOf axis="desOrSelf" ptType="node"/>
          </dgm:if>
          <dgm:else name="Name111">
            <dgm:choose name="Name112">
              <dgm:if name="Name113" axis="root ch" ptType="all node" func="cnt" op="equ" val="5">
                <dgm:presOf axis="root ch desOrSelf" ptType="all node node" st="1 2 1" cnt="1 1 0"/>
              </dgm:if>
              <dgm:if name="Name114" axis="root ch" ptType="all node" func="cnt" op="equ" val="6">
                <dgm:presOf axis="root ch desOrSelf" ptType="all node node" st="1 3 1" cnt="1 1 0"/>
              </dgm:if>
              <dgm:else name="Name115">
                <dgm:presOf axis="root ch desOrSelf" ptType="all node node" st="1 4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116" axis="ch" ptType="node" st="6" cnt="1">
      <dgm:layoutNode name="circ6" styleLbl="vennNode1">
        <dgm:alg type="sp"/>
        <dgm:shape xmlns:r="http://schemas.openxmlformats.org/officeDocument/2006/relationships" type="ellipse" r:blip="">
          <dgm:adjLst/>
        </dgm:shape>
        <dgm:presOf/>
        <dgm:constrLst/>
        <dgm:ruleLst/>
      </dgm:layoutNode>
      <dgm:layoutNode name="circ6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17">
          <dgm:if name="Name118" func="var" arg="dir" op="equ" val="norm">
            <dgm:presOf axis="desOrSelf" ptType="node"/>
          </dgm:if>
          <dgm:else name="Name119">
            <dgm:choose name="Name120">
              <dgm:if name="Name121" axis="root ch" ptType="all node" func="cnt" op="equ" val="6">
                <dgm:presOf axis="root ch desOrSelf" ptType="all node node" st="1 2 1" cnt="1 1 0"/>
              </dgm:if>
              <dgm:else name="Name122">
                <dgm:presOf axis="root ch desOrSelf" ptType="all node node" st="1 3 1" cnt="1 1 0"/>
              </dgm:else>
            </dgm:choose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  <dgm:forEach name="Name123" axis="ch" ptType="node" st="7" cnt="1">
      <dgm:layoutNode name="circ7" styleLbl="vennNode1">
        <dgm:alg type="sp"/>
        <dgm:shape xmlns:r="http://schemas.openxmlformats.org/officeDocument/2006/relationships" type="ellipse" r:blip="">
          <dgm:adjLst/>
        </dgm:shape>
        <dgm:presOf/>
        <dgm:constrLst/>
        <dgm:ruleLst/>
      </dgm:layoutNode>
      <dgm:layoutNode name="circ7Tx" styleLbl="revTx">
        <dgm:varLst>
          <dgm:chMax val="0"/>
          <dgm:chPref val="0"/>
          <dgm:bulletEnabled val="1"/>
        </dgm:varLst>
        <dgm:alg type="tx">
          <dgm:param type="txAnchorHorzCh" val="ctr"/>
          <dgm:param type="txAnchorVertCh" val="mid"/>
        </dgm:alg>
        <dgm:shape xmlns:r="http://schemas.openxmlformats.org/officeDocument/2006/relationships" type="rect" r:blip="" hideGeom="1">
          <dgm:adjLst/>
        </dgm:shape>
        <dgm:choose name="Name124">
          <dgm:if name="Name125" func="var" arg="dir" op="equ" val="norm">
            <dgm:presOf axis="desOrSelf" ptType="node"/>
          </dgm:if>
          <dgm:else name="Name126">
            <dgm:presOf axis="root ch desOrSelf" ptType="all node node" st="1 2 1" cnt="1 1 0"/>
          </dgm:else>
        </dgm:choose>
        <dgm:constrLst>
          <dgm:constr type="tMarg"/>
          <dgm:constr type="bMarg"/>
          <dgm:constr type="lMarg"/>
          <dgm:constr type="rMarg"/>
          <dgm:constr type="primFontSz" val="65"/>
        </dgm:constrLst>
        <dgm:ruleLst>
          <dgm:rule type="primFontSz" val="5" fact="NaN" max="NaN"/>
        </dgm:ruleLst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5">
  <dgm:title val=""/>
  <dgm:desc val=""/>
  <dgm:catLst>
    <dgm:cat type="simple" pri="105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5">
  <dgm:title val=""/>
  <dgm:desc val=""/>
  <dgm:catLst>
    <dgm:cat type="simple" pri="105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5">
  <dgm:title val=""/>
  <dgm:desc val=""/>
  <dgm:catLst>
    <dgm:cat type="simple" pri="105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Asistencia '!A1"/><Relationship Id="rId2" Type="http://schemas.openxmlformats.org/officeDocument/2006/relationships/hyperlink" Target="#Tiempo!A1"/><Relationship Id="rId1" Type="http://schemas.openxmlformats.org/officeDocument/2006/relationships/hyperlink" Target="#'Costo de Materiale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2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5" Type="http://schemas.microsoft.com/office/2007/relationships/diagramDrawing" Target="../diagrams/drawing2.xml"/><Relationship Id="rId4" Type="http://schemas.openxmlformats.org/officeDocument/2006/relationships/diagramColors" Target="../diagrams/colors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3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5" Type="http://schemas.microsoft.com/office/2007/relationships/diagramDrawing" Target="../diagrams/drawing3.xml"/><Relationship Id="rId4" Type="http://schemas.openxmlformats.org/officeDocument/2006/relationships/diagramColors" Target="../diagrams/colors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337608</xdr:colOff>
      <xdr:row>1</xdr:row>
      <xdr:rowOff>58209</xdr:rowOff>
    </xdr:from>
    <xdr:to>
      <xdr:col>13</xdr:col>
      <xdr:colOff>490008</xdr:colOff>
      <xdr:row>7</xdr:row>
      <xdr:rowOff>165713</xdr:rowOff>
    </xdr:to>
    <xdr:pic>
      <xdr:nvPicPr>
        <xdr:cNvPr id="2" name="Imagen 1" descr="Colegio de Bachilleres de Chiapa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19608" y="248709"/>
          <a:ext cx="1676400" cy="12505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466725</xdr:colOff>
          <xdr:row>12</xdr:row>
          <xdr:rowOff>123825</xdr:rowOff>
        </xdr:from>
        <xdr:to>
          <xdr:col>17</xdr:col>
          <xdr:colOff>561975</xdr:colOff>
          <xdr:row>15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MX" sz="1600" b="1" i="1" u="none" strike="noStrike" baseline="0">
                  <a:solidFill>
                    <a:srgbClr val="0000FF"/>
                  </a:solidFill>
                  <a:latin typeface="WTF"/>
                </a:rPr>
                <a:t>Avanzar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12</xdr:row>
          <xdr:rowOff>114300</xdr:rowOff>
        </xdr:from>
        <xdr:to>
          <xdr:col>3</xdr:col>
          <xdr:colOff>523875</xdr:colOff>
          <xdr:row>15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MX" sz="1600" b="1" i="1" u="none" strike="noStrike" baseline="0">
                  <a:solidFill>
                    <a:srgbClr val="800000"/>
                  </a:solidFill>
                  <a:latin typeface="WTF"/>
                </a:rPr>
                <a:t>Regresar a HTML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456406</xdr:colOff>
      <xdr:row>4</xdr:row>
      <xdr:rowOff>128984</xdr:rowOff>
    </xdr:from>
    <xdr:to>
      <xdr:col>3</xdr:col>
      <xdr:colOff>377031</xdr:colOff>
      <xdr:row>24</xdr:row>
      <xdr:rowOff>59531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984375" y="883047"/>
          <a:ext cx="684609" cy="3700859"/>
          <a:chOff x="1984375" y="386953"/>
          <a:chExt cx="684609" cy="3700860"/>
        </a:xfrm>
      </xdr:grpSpPr>
      <xdr:sp macro="" textlink="">
        <xdr:nvSpPr>
          <xdr:cNvPr id="2" name="Rectángulo: esquinas superiores redondeada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984375" y="386953"/>
            <a:ext cx="684609" cy="3700860"/>
          </a:xfrm>
          <a:prstGeom prst="round2SameRect">
            <a:avLst/>
          </a:prstGeom>
          <a:solidFill>
            <a:srgbClr val="FF66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10246" name="WordArt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628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 rot="16200000">
            <a:off x="711398" y="2189761"/>
            <a:ext cx="3140078" cy="344882"/>
          </a:xfrm>
          <a:prstGeom prst="rect">
            <a:avLst/>
          </a:prstGeom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es-MX" sz="3600" kern="10" spc="0">
                <a:ln w="12700">
                  <a:solidFill>
                    <a:srgbClr val="EAEAEA"/>
                  </a:solidFill>
                  <a:round/>
                  <a:headEnd/>
                  <a:tailEnd/>
                </a:ln>
                <a:gradFill rotWithShape="0">
                  <a:gsLst>
                    <a:gs pos="0">
                      <a:srgbClr val="A603AB"/>
                    </a:gs>
                    <a:gs pos="12000">
                      <a:srgbClr val="E81766"/>
                    </a:gs>
                    <a:gs pos="27000">
                      <a:srgbClr val="EE3F17"/>
                    </a:gs>
                    <a:gs pos="48000">
                      <a:srgbClr val="FFFF00"/>
                    </a:gs>
                    <a:gs pos="64999">
                      <a:srgbClr val="1A8D48"/>
                    </a:gs>
                    <a:gs pos="78999">
                      <a:srgbClr val="0819FB"/>
                    </a:gs>
                    <a:gs pos="100000">
                      <a:srgbClr val="A603AB"/>
                    </a:gs>
                  </a:gsLst>
                  <a:lin ang="0" scaled="1"/>
                </a:gradFill>
                <a:effectLst/>
                <a:latin typeface="Berlin Sans FB" panose="020E0602020502020306" pitchFamily="34" charset="0"/>
              </a:rPr>
              <a:t>Costos de Materiales</a:t>
            </a:r>
          </a:p>
        </xdr:txBody>
      </xdr:sp>
    </xdr:grpSp>
    <xdr:clientData/>
  </xdr:twoCellAnchor>
  <xdr:twoCellAnchor>
    <xdr:from>
      <xdr:col>13</xdr:col>
      <xdr:colOff>416719</xdr:colOff>
      <xdr:row>5</xdr:row>
      <xdr:rowOff>1</xdr:rowOff>
    </xdr:from>
    <xdr:to>
      <xdr:col>14</xdr:col>
      <xdr:colOff>337344</xdr:colOff>
      <xdr:row>24</xdr:row>
      <xdr:rowOff>119063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0348516" y="942579"/>
          <a:ext cx="684609" cy="3700859"/>
          <a:chOff x="10348516" y="377032"/>
          <a:chExt cx="684609" cy="3700860"/>
        </a:xfrm>
      </xdr:grpSpPr>
      <xdr:sp macro="" textlink="">
        <xdr:nvSpPr>
          <xdr:cNvPr id="4" name="Rectángulo: esquinas superiores redondeadas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0348516" y="377032"/>
            <a:ext cx="684609" cy="3700860"/>
          </a:xfrm>
          <a:prstGeom prst="round2SameRect">
            <a:avLst/>
          </a:prstGeom>
          <a:solidFill>
            <a:srgbClr val="FF66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9" name="WordArt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 rot="16200000">
            <a:off x="9124749" y="2189761"/>
            <a:ext cx="3140078" cy="344882"/>
          </a:xfrm>
          <a:prstGeom prst="rect">
            <a:avLst/>
          </a:prstGeom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es-MX" sz="3600" kern="10" spc="0">
                <a:ln w="12700">
                  <a:solidFill>
                    <a:srgbClr val="EAEAEA"/>
                  </a:solidFill>
                  <a:round/>
                  <a:headEnd/>
                  <a:tailEnd/>
                </a:ln>
                <a:gradFill rotWithShape="0">
                  <a:gsLst>
                    <a:gs pos="0">
                      <a:srgbClr val="A603AB"/>
                    </a:gs>
                    <a:gs pos="12000">
                      <a:srgbClr val="E81766"/>
                    </a:gs>
                    <a:gs pos="27000">
                      <a:srgbClr val="EE3F17"/>
                    </a:gs>
                    <a:gs pos="48000">
                      <a:srgbClr val="FFFF00"/>
                    </a:gs>
                    <a:gs pos="64999">
                      <a:srgbClr val="1A8D48"/>
                    </a:gs>
                    <a:gs pos="78999">
                      <a:srgbClr val="0819FB"/>
                    </a:gs>
                    <a:gs pos="100000">
                      <a:srgbClr val="A603AB"/>
                    </a:gs>
                  </a:gsLst>
                  <a:lin ang="0" scaled="1"/>
                </a:gradFill>
                <a:effectLst/>
                <a:latin typeface="Berlin Sans FB" panose="020E0602020502020306" pitchFamily="34" charset="0"/>
              </a:rPr>
              <a:t>Tiempo por actividad</a:t>
            </a:r>
          </a:p>
        </xdr:txBody>
      </xdr:sp>
    </xdr:grpSp>
    <xdr:clientData/>
  </xdr:twoCellAnchor>
  <xdr:twoCellAnchor>
    <xdr:from>
      <xdr:col>8</xdr:col>
      <xdr:colOff>0</xdr:colOff>
      <xdr:row>4</xdr:row>
      <xdr:rowOff>119062</xdr:rowOff>
    </xdr:from>
    <xdr:to>
      <xdr:col>8</xdr:col>
      <xdr:colOff>684609</xdr:colOff>
      <xdr:row>24</xdr:row>
      <xdr:rowOff>49609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6111875" y="873125"/>
          <a:ext cx="684609" cy="3700859"/>
          <a:chOff x="6111875" y="386953"/>
          <a:chExt cx="684609" cy="3700860"/>
        </a:xfrm>
      </xdr:grpSpPr>
      <xdr:sp macro="" textlink="">
        <xdr:nvSpPr>
          <xdr:cNvPr id="3" name="Rectángulo: esquinas superiores redondeada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6111875" y="386953"/>
            <a:ext cx="684609" cy="3700860"/>
          </a:xfrm>
          <a:prstGeom prst="round2SameRect">
            <a:avLst/>
          </a:prstGeom>
          <a:solidFill>
            <a:srgbClr val="FF66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10" name="WordArt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 rot="16200000">
            <a:off x="4837110" y="2190753"/>
            <a:ext cx="3140078" cy="342898"/>
          </a:xfrm>
          <a:prstGeom prst="rect">
            <a:avLst/>
          </a:prstGeom>
          <a:extLst>
            <a:ext uri="{AF507438-7753-43E0-B8FC-AC1667EBCBE1}">
              <a14:hiddenEffects xmlns:a14="http://schemas.microsoft.com/office/drawing/2010/main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es-MX" sz="3600" kern="10" spc="0">
                <a:ln w="12700">
                  <a:solidFill>
                    <a:srgbClr val="EAEAEA"/>
                  </a:solidFill>
                  <a:round/>
                  <a:headEnd/>
                  <a:tailEnd/>
                </a:ln>
                <a:gradFill rotWithShape="0">
                  <a:gsLst>
                    <a:gs pos="0">
                      <a:srgbClr val="A603AB"/>
                    </a:gs>
                    <a:gs pos="12000">
                      <a:srgbClr val="E81766"/>
                    </a:gs>
                    <a:gs pos="27000">
                      <a:srgbClr val="EE3F17"/>
                    </a:gs>
                    <a:gs pos="48000">
                      <a:srgbClr val="FFFF00"/>
                    </a:gs>
                    <a:gs pos="64999">
                      <a:srgbClr val="1A8D48"/>
                    </a:gs>
                    <a:gs pos="78999">
                      <a:srgbClr val="0819FB"/>
                    </a:gs>
                    <a:gs pos="100000">
                      <a:srgbClr val="A603AB"/>
                    </a:gs>
                  </a:gsLst>
                  <a:lin ang="0" scaled="1"/>
                </a:gradFill>
                <a:effectLst/>
                <a:latin typeface="Berlin Sans FB" panose="020E0602020502020306" pitchFamily="34" charset="0"/>
              </a:rPr>
              <a:t>Asistencias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10</xdr:row>
          <xdr:rowOff>85725</xdr:rowOff>
        </xdr:from>
        <xdr:to>
          <xdr:col>2</xdr:col>
          <xdr:colOff>76200</xdr:colOff>
          <xdr:row>13</xdr:row>
          <xdr:rowOff>9525</xdr:rowOff>
        </xdr:to>
        <xdr:sp macro="" textlink="">
          <xdr:nvSpPr>
            <xdr:cNvPr id="10248" name="Button 8" descr="REGRESAR 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MX" sz="1400" b="1" i="1" u="none" strike="noStrike" baseline="0">
                  <a:solidFill>
                    <a:srgbClr val="800000"/>
                  </a:solidFill>
                  <a:latin typeface="WTF"/>
                </a:rPr>
                <a:t>REGRESAR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11710</xdr:colOff>
      <xdr:row>40</xdr:row>
      <xdr:rowOff>80224</xdr:rowOff>
    </xdr:from>
    <xdr:ext cx="385763" cy="19050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114061" y="6794877"/>
          <a:ext cx="385763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s-MX" sz="1200" i="0">
              <a:solidFill>
                <a:srgbClr val="836967"/>
              </a:solidFill>
              <a:latin typeface="Cambria Math" panose="02040503050406030204" pitchFamily="18" charset="0"/>
            </a:rPr>
            <a:t>∑fi=</a:t>
          </a:r>
          <a:endParaRPr lang="es-MX" sz="1200"/>
        </a:p>
      </xdr:txBody>
    </xdr:sp>
    <xdr:clientData/>
  </xdr:oneCellAnchor>
  <xdr:oneCellAnchor>
    <xdr:from>
      <xdr:col>8</xdr:col>
      <xdr:colOff>15364</xdr:colOff>
      <xdr:row>40</xdr:row>
      <xdr:rowOff>95298</xdr:rowOff>
    </xdr:from>
    <xdr:ext cx="385763" cy="19050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975562" y="6809951"/>
          <a:ext cx="385763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s-MX" sz="1050" i="0">
              <a:solidFill>
                <a:srgbClr val="836967"/>
              </a:solidFill>
              <a:latin typeface="Cambria Math" panose="02040503050406030204" pitchFamily="18" charset="0"/>
            </a:rPr>
            <a:t>∑</a:t>
          </a:r>
          <a:r>
            <a:rPr lang="es-MX" sz="1050" b="0" i="0">
              <a:solidFill>
                <a:srgbClr val="836967"/>
              </a:solidFill>
              <a:latin typeface="Cambria Math" panose="02040503050406030204" pitchFamily="18" charset="0"/>
            </a:rPr>
            <a:t>ℎi=</a:t>
          </a:r>
          <a:endParaRPr lang="es-MX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104775</xdr:rowOff>
        </xdr:from>
        <xdr:to>
          <xdr:col>3</xdr:col>
          <xdr:colOff>314325</xdr:colOff>
          <xdr:row>23</xdr:row>
          <xdr:rowOff>57150</xdr:rowOff>
        </xdr:to>
        <xdr:sp macro="" textlink="">
          <xdr:nvSpPr>
            <xdr:cNvPr id="3073" name="Button 1" descr="REGRESAR 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s-MX" sz="2000" b="0" i="0" u="none" strike="noStrike" baseline="0">
                  <a:solidFill>
                    <a:srgbClr val="339966"/>
                  </a:solidFill>
                  <a:latin typeface="WTF"/>
                </a:rPr>
                <a:t>  MENU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20</xdr:row>
          <xdr:rowOff>19050</xdr:rowOff>
        </xdr:from>
        <xdr:to>
          <xdr:col>21</xdr:col>
          <xdr:colOff>28575</xdr:colOff>
          <xdr:row>23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s-MX" sz="2000" b="0" i="0" u="none" strike="noStrike" baseline="0">
                  <a:solidFill>
                    <a:srgbClr val="0000FF"/>
                  </a:solidFill>
                  <a:latin typeface="WTF"/>
                </a:rPr>
                <a:t> AVANZAR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2</xdr:row>
      <xdr:rowOff>47625</xdr:rowOff>
    </xdr:from>
    <xdr:to>
      <xdr:col>16</xdr:col>
      <xdr:colOff>190500</xdr:colOff>
      <xdr:row>23</xdr:row>
      <xdr:rowOff>82596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2628900" y="428625"/>
          <a:ext cx="9753600" cy="4035471"/>
          <a:chOff x="-143934" y="-968376"/>
          <a:chExt cx="9753600" cy="4035471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GraphicFramePr>
            <a:graphicFrameLocks/>
          </xdr:cNvGraphicFramePr>
        </xdr:nvGraphicFramePr>
        <xdr:xfrm>
          <a:off x="-123826" y="-968376"/>
          <a:ext cx="9733492" cy="3552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-143934" y="2592917"/>
            <a:ext cx="9744075" cy="474178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100">
                <a:solidFill>
                  <a:sysClr val="windowText" lastClr="000000"/>
                </a:solidFill>
              </a:rPr>
              <a:t>NOTA: Gráfico de los costos de materiales ocupados para el proyecto de mantenimiento de areas verdes.</a:t>
            </a:r>
            <a:r>
              <a:rPr lang="es-MX" sz="1100" baseline="0">
                <a:solidFill>
                  <a:sysClr val="windowText" lastClr="000000"/>
                </a:solidFill>
              </a:rPr>
              <a:t> Alumnos del 6B Matutino</a:t>
            </a:r>
            <a:endParaRPr lang="es-MX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12</xdr:row>
          <xdr:rowOff>66675</xdr:rowOff>
        </xdr:from>
        <xdr:to>
          <xdr:col>2</xdr:col>
          <xdr:colOff>381000</xdr:colOff>
          <xdr:row>14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800000"/>
                  </a:solidFill>
                  <a:latin typeface="WTF"/>
                </a:rPr>
                <a:t>REGRESAR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8</xdr:row>
          <xdr:rowOff>66675</xdr:rowOff>
        </xdr:from>
        <xdr:to>
          <xdr:col>2</xdr:col>
          <xdr:colOff>390525</xdr:colOff>
          <xdr:row>10</xdr:row>
          <xdr:rowOff>123825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FF"/>
                  </a:solidFill>
                  <a:latin typeface="WTF"/>
                </a:rPr>
                <a:t>AVANZAR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8</xdr:row>
          <xdr:rowOff>57150</xdr:rowOff>
        </xdr:from>
        <xdr:to>
          <xdr:col>2</xdr:col>
          <xdr:colOff>742950</xdr:colOff>
          <xdr:row>10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800000"/>
                  </a:solidFill>
                  <a:latin typeface="WTF"/>
                </a:rPr>
                <a:t>REGRESAR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514348</xdr:colOff>
      <xdr:row>2</xdr:row>
      <xdr:rowOff>95249</xdr:rowOff>
    </xdr:from>
    <xdr:to>
      <xdr:col>14</xdr:col>
      <xdr:colOff>9524</xdr:colOff>
      <xdr:row>22</xdr:row>
      <xdr:rowOff>85724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3562348" y="476249"/>
          <a:ext cx="7105651" cy="3800475"/>
          <a:chOff x="3533773" y="57149"/>
          <a:chExt cx="7105651" cy="3800475"/>
        </a:xfrm>
      </xdr:grpSpPr>
      <xdr:graphicFrame macro="">
        <xdr:nvGraphicFramePr>
          <xdr:cNvPr id="2" name="Diagrama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GraphicFramePr/>
        </xdr:nvGraphicFramePr>
        <xdr:xfrm>
          <a:off x="3533773" y="57149"/>
          <a:ext cx="7105651" cy="3800475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">
        <xdr:nvSpPr>
          <xdr:cNvPr id="5" name="Rectángulo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6772276" y="828674"/>
            <a:ext cx="923924" cy="11049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800"/>
              <a:t>Espàtula</a:t>
            </a:r>
            <a:r>
              <a:rPr lang="es-MX" sz="800" baseline="0"/>
              <a:t> </a:t>
            </a:r>
          </a:p>
          <a:p>
            <a:pPr algn="l"/>
            <a:r>
              <a:rPr lang="es-MX" sz="800" baseline="0"/>
              <a:t>Cal</a:t>
            </a:r>
          </a:p>
          <a:p>
            <a:pPr algn="l"/>
            <a:r>
              <a:rPr lang="es-MX" sz="800" baseline="0"/>
              <a:t>Bote</a:t>
            </a:r>
          </a:p>
          <a:p>
            <a:pPr algn="l"/>
            <a:r>
              <a:rPr lang="es-MX" sz="800" baseline="0"/>
              <a:t>Base para el bote </a:t>
            </a:r>
          </a:p>
          <a:p>
            <a:pPr algn="l"/>
            <a:r>
              <a:rPr lang="es-MX" sz="800" baseline="0"/>
              <a:t>Trapo </a:t>
            </a:r>
          </a:p>
          <a:p>
            <a:pPr algn="l"/>
            <a:r>
              <a:rPr lang="es-MX" sz="800" baseline="0"/>
              <a:t>Agua</a:t>
            </a:r>
          </a:p>
          <a:p>
            <a:pPr algn="l"/>
            <a:r>
              <a:rPr lang="es-MX" sz="800" baseline="0"/>
              <a:t>Clavo</a:t>
            </a:r>
            <a:endParaRPr lang="es-MX" sz="800"/>
          </a:p>
        </xdr:txBody>
      </xdr:sp>
      <xdr:sp macro="" textlink="">
        <xdr:nvSpPr>
          <xdr:cNvPr id="6" name="Rectángul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5838826" y="2867025"/>
            <a:ext cx="571500" cy="4286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800"/>
              <a:t>Llantas</a:t>
            </a:r>
          </a:p>
        </xdr:txBody>
      </xdr:sp>
      <xdr:sp macro="" textlink="">
        <xdr:nvSpPr>
          <xdr:cNvPr id="7" name="Rectángul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7600950" y="2809876"/>
            <a:ext cx="1123950" cy="10096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800"/>
              <a:t>Brochas</a:t>
            </a:r>
          </a:p>
          <a:p>
            <a:pPr algn="l"/>
            <a:r>
              <a:rPr lang="es-MX" sz="800"/>
              <a:t>Pintura verde</a:t>
            </a:r>
          </a:p>
          <a:p>
            <a:pPr algn="l"/>
            <a:r>
              <a:rPr lang="es-MX" sz="800"/>
              <a:t>Pintura verde limòn </a:t>
            </a:r>
          </a:p>
          <a:p>
            <a:pPr algn="l"/>
            <a:r>
              <a:rPr lang="es-MX" sz="800"/>
              <a:t>Pintura roja </a:t>
            </a:r>
          </a:p>
          <a:p>
            <a:pPr algn="l"/>
            <a:r>
              <a:rPr lang="es-MX" sz="800"/>
              <a:t>Pintura dorada </a:t>
            </a:r>
          </a:p>
          <a:p>
            <a:pPr algn="l"/>
            <a:r>
              <a:rPr lang="es-MX" sz="800"/>
              <a:t>Plantas</a:t>
            </a:r>
            <a:r>
              <a:rPr lang="es-MX" sz="800" baseline="0"/>
              <a:t> </a:t>
            </a:r>
          </a:p>
          <a:p>
            <a:pPr algn="l"/>
            <a:r>
              <a:rPr lang="es-MX" sz="800" baseline="0"/>
              <a:t>Bambù</a:t>
            </a:r>
            <a:endParaRPr lang="es-MX" sz="8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124353</xdr:colOff>
      <xdr:row>29</xdr:row>
      <xdr:rowOff>186267</xdr:rowOff>
    </xdr:from>
    <xdr:ext cx="385763" cy="19050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4735703" y="5710767"/>
          <a:ext cx="385763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s-MX" sz="1200" i="0">
              <a:solidFill>
                <a:srgbClr val="836967"/>
              </a:solidFill>
              <a:latin typeface="Cambria Math" panose="02040503050406030204" pitchFamily="18" charset="0"/>
            </a:rPr>
            <a:t>∑128▒</a:t>
          </a:r>
          <a:r>
            <a:rPr lang="es-MX" sz="1200" i="0">
              <a:latin typeface="Cambria Math" panose="02040503050406030204" pitchFamily="18" charset="0"/>
            </a:rPr>
            <a:t>𝑓</a:t>
          </a:r>
          <a:r>
            <a:rPr lang="es-MX" sz="1200" i="0">
              <a:solidFill>
                <a:srgbClr val="836967"/>
              </a:solidFill>
              <a:latin typeface="Cambria Math" panose="02040503050406030204" pitchFamily="18" charset="0"/>
            </a:rPr>
            <a:t>_</a:t>
          </a:r>
          <a:r>
            <a:rPr lang="es-MX" sz="1200" i="0">
              <a:latin typeface="Cambria Math" panose="02040503050406030204" pitchFamily="18" charset="0"/>
            </a:rPr>
            <a:t>𝑖 </a:t>
          </a:r>
          <a:r>
            <a:rPr lang="es-MX" sz="1200"/>
            <a:t>=</a:t>
          </a:r>
        </a:p>
      </xdr:txBody>
    </xdr:sp>
    <xdr:clientData/>
  </xdr:oneCellAnchor>
  <xdr:oneCellAnchor>
    <xdr:from>
      <xdr:col>25</xdr:col>
      <xdr:colOff>127001</xdr:colOff>
      <xdr:row>30</xdr:row>
      <xdr:rowOff>12700</xdr:rowOff>
    </xdr:from>
    <xdr:ext cx="385763" cy="19050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7024351" y="5727700"/>
          <a:ext cx="385763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s-MX" sz="1200" i="0">
              <a:solidFill>
                <a:srgbClr val="836967"/>
              </a:solidFill>
              <a:latin typeface="Cambria Math" panose="02040503050406030204" pitchFamily="18" charset="0"/>
            </a:rPr>
            <a:t>∑128▒</a:t>
          </a:r>
          <a:r>
            <a:rPr lang="es-MX" sz="1200" b="0" i="0">
              <a:solidFill>
                <a:srgbClr val="836967"/>
              </a:solidFill>
              <a:latin typeface="Cambria Math" panose="02040503050406030204" pitchFamily="18" charset="0"/>
            </a:rPr>
            <a:t>ℎ_</a:t>
          </a:r>
          <a:r>
            <a:rPr lang="es-MX" sz="1200" i="0">
              <a:latin typeface="Cambria Math" panose="02040503050406030204" pitchFamily="18" charset="0"/>
            </a:rPr>
            <a:t>𝑖 </a:t>
          </a:r>
          <a:r>
            <a:rPr lang="es-MX" sz="1200"/>
            <a:t>=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28</xdr:row>
          <xdr:rowOff>28575</xdr:rowOff>
        </xdr:from>
        <xdr:to>
          <xdr:col>15</xdr:col>
          <xdr:colOff>133350</xdr:colOff>
          <xdr:row>30</xdr:row>
          <xdr:rowOff>171450</xdr:rowOff>
        </xdr:to>
        <xdr:sp macro="" textlink="">
          <xdr:nvSpPr>
            <xdr:cNvPr id="5121" name="Button 1" descr="REGRESAR 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339966"/>
                  </a:solidFill>
                  <a:latin typeface="WTF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485775</xdr:colOff>
          <xdr:row>27</xdr:row>
          <xdr:rowOff>76200</xdr:rowOff>
        </xdr:from>
        <xdr:to>
          <xdr:col>34</xdr:col>
          <xdr:colOff>600075</xdr:colOff>
          <xdr:row>30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FF"/>
                  </a:solidFill>
                  <a:latin typeface="WTF"/>
                </a:rPr>
                <a:t>AVANZAR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3</xdr:row>
      <xdr:rowOff>148922</xdr:rowOff>
    </xdr:from>
    <xdr:to>
      <xdr:col>9</xdr:col>
      <xdr:colOff>608240</xdr:colOff>
      <xdr:row>20</xdr:row>
      <xdr:rowOff>58208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200025" y="720422"/>
          <a:ext cx="7266215" cy="3147786"/>
          <a:chOff x="7647213" y="312964"/>
          <a:chExt cx="7266215" cy="3147786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GraphicFramePr>
            <a:graphicFrameLocks/>
          </xdr:cNvGraphicFramePr>
        </xdr:nvGraphicFramePr>
        <xdr:xfrm>
          <a:off x="7647213" y="312964"/>
          <a:ext cx="7266215" cy="27078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651750" y="3005666"/>
            <a:ext cx="7260167" cy="45508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100"/>
              <a:t>NOTA: Gráfico de asistencia del mes de Febrero, proyecto de mantenimiento de areas verdes.</a:t>
            </a:r>
            <a:r>
              <a:rPr lang="es-MX" sz="1100" baseline="0"/>
              <a:t> Alumnos del 6B Matutino</a:t>
            </a:r>
            <a:endParaRPr lang="es-MX" sz="1100"/>
          </a:p>
        </xdr:txBody>
      </xdr:sp>
    </xdr:grpSp>
    <xdr:clientData/>
  </xdr:twoCellAnchor>
  <xdr:twoCellAnchor>
    <xdr:from>
      <xdr:col>10</xdr:col>
      <xdr:colOff>162228</xdr:colOff>
      <xdr:row>3</xdr:row>
      <xdr:rowOff>142875</xdr:rowOff>
    </xdr:from>
    <xdr:to>
      <xdr:col>19</xdr:col>
      <xdr:colOff>574978</xdr:colOff>
      <xdr:row>20</xdr:row>
      <xdr:rowOff>47625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7782228" y="714375"/>
          <a:ext cx="7270750" cy="3143250"/>
          <a:chOff x="15229416" y="306917"/>
          <a:chExt cx="7270750" cy="3143250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GraphicFramePr>
            <a:graphicFrameLocks/>
          </xdr:cNvGraphicFramePr>
        </xdr:nvGraphicFramePr>
        <xdr:xfrm>
          <a:off x="15229416" y="306917"/>
          <a:ext cx="7266215" cy="27078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 txBox="1"/>
        </xdr:nvSpPr>
        <xdr:spPr>
          <a:xfrm>
            <a:off x="15229416" y="2995083"/>
            <a:ext cx="7270750" cy="45508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100"/>
              <a:t>NOTA: Gráfico de asistencia del mes de Marzo, proyecto de mantenimiento de areas verdes.</a:t>
            </a:r>
            <a:r>
              <a:rPr lang="es-MX" sz="1100" baseline="0"/>
              <a:t> Alumnos del 6B Matutino</a:t>
            </a:r>
            <a:endParaRPr lang="es-MX" sz="1100"/>
          </a:p>
        </xdr:txBody>
      </xdr:sp>
    </xdr:grpSp>
    <xdr:clientData/>
  </xdr:twoCellAnchor>
  <xdr:twoCellAnchor>
    <xdr:from>
      <xdr:col>20</xdr:col>
      <xdr:colOff>138176</xdr:colOff>
      <xdr:row>3</xdr:row>
      <xdr:rowOff>147686</xdr:rowOff>
    </xdr:from>
    <xdr:to>
      <xdr:col>29</xdr:col>
      <xdr:colOff>550926</xdr:colOff>
      <xdr:row>20</xdr:row>
      <xdr:rowOff>52436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15378176" y="719186"/>
          <a:ext cx="7270750" cy="3143250"/>
          <a:chOff x="15229416" y="306917"/>
          <a:chExt cx="7270750" cy="314325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GraphicFramePr>
            <a:graphicFrameLocks/>
          </xdr:cNvGraphicFramePr>
        </xdr:nvGraphicFramePr>
        <xdr:xfrm>
          <a:off x="15229416" y="306917"/>
          <a:ext cx="7266215" cy="27078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 txBox="1"/>
        </xdr:nvSpPr>
        <xdr:spPr>
          <a:xfrm>
            <a:off x="15229416" y="2995083"/>
            <a:ext cx="7270750" cy="45508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100"/>
              <a:t>NOTA: Gráfico de asistencia del mes de Abril, proyecto de mantenimiento de areas verdes.</a:t>
            </a:r>
            <a:r>
              <a:rPr lang="es-MX" sz="1100" baseline="0"/>
              <a:t> Alumnos del 6B Matutino</a:t>
            </a:r>
            <a:endParaRPr lang="es-MX" sz="1100"/>
          </a:p>
        </xdr:txBody>
      </xdr:sp>
    </xdr:grpSp>
    <xdr:clientData/>
  </xdr:twoCellAnchor>
  <xdr:twoCellAnchor>
    <xdr:from>
      <xdr:col>30</xdr:col>
      <xdr:colOff>138176</xdr:colOff>
      <xdr:row>3</xdr:row>
      <xdr:rowOff>147686</xdr:rowOff>
    </xdr:from>
    <xdr:to>
      <xdr:col>39</xdr:col>
      <xdr:colOff>550926</xdr:colOff>
      <xdr:row>20</xdr:row>
      <xdr:rowOff>52436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22998176" y="719186"/>
          <a:ext cx="7270750" cy="3143250"/>
          <a:chOff x="15229416" y="306917"/>
          <a:chExt cx="7270750" cy="3143250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GraphicFramePr>
            <a:graphicFrameLocks/>
          </xdr:cNvGraphicFramePr>
        </xdr:nvGraphicFramePr>
        <xdr:xfrm>
          <a:off x="15229416" y="306917"/>
          <a:ext cx="7266215" cy="27078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 txBox="1"/>
        </xdr:nvSpPr>
        <xdr:spPr>
          <a:xfrm>
            <a:off x="15229416" y="2995083"/>
            <a:ext cx="7270750" cy="45508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100"/>
              <a:t>NOTA: Gráfico de asistencia del mes de Mayo, proyecto de mantenimiento de areas verdes.</a:t>
            </a:r>
            <a:r>
              <a:rPr lang="es-MX" sz="1100" baseline="0"/>
              <a:t> Alumnos del 6B Matutino</a:t>
            </a:r>
            <a:endParaRPr lang="es-MX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23</xdr:row>
          <xdr:rowOff>85725</xdr:rowOff>
        </xdr:from>
        <xdr:to>
          <xdr:col>10</xdr:col>
          <xdr:colOff>695325</xdr:colOff>
          <xdr:row>26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800000"/>
                  </a:solidFill>
                  <a:latin typeface="WTF"/>
                </a:rPr>
                <a:t>REGRESAR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23</xdr:row>
          <xdr:rowOff>85725</xdr:rowOff>
        </xdr:from>
        <xdr:to>
          <xdr:col>13</xdr:col>
          <xdr:colOff>342900</xdr:colOff>
          <xdr:row>26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00FF"/>
                  </a:solidFill>
                  <a:latin typeface="WTF"/>
                </a:rPr>
                <a:t>AVANZAR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8</xdr:row>
          <xdr:rowOff>76200</xdr:rowOff>
        </xdr:from>
        <xdr:to>
          <xdr:col>3</xdr:col>
          <xdr:colOff>19050</xdr:colOff>
          <xdr:row>10</xdr:row>
          <xdr:rowOff>133350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800000"/>
                  </a:solidFill>
                  <a:latin typeface="WTF"/>
                </a:rPr>
                <a:t>REGRESAR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152400</xdr:colOff>
      <xdr:row>0</xdr:row>
      <xdr:rowOff>38101</xdr:rowOff>
    </xdr:from>
    <xdr:to>
      <xdr:col>15</xdr:col>
      <xdr:colOff>742950</xdr:colOff>
      <xdr:row>20</xdr:row>
      <xdr:rowOff>76201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2438400" y="38101"/>
          <a:ext cx="9734550" cy="3848100"/>
          <a:chOff x="2419350" y="38101"/>
          <a:chExt cx="9753600" cy="3848100"/>
        </a:xfrm>
      </xdr:grpSpPr>
      <xdr:graphicFrame macro="">
        <xdr:nvGraphicFramePr>
          <xdr:cNvPr id="2" name="Diagrama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GraphicFramePr/>
        </xdr:nvGraphicFramePr>
        <xdr:xfrm>
          <a:off x="2419350" y="38101"/>
          <a:ext cx="9753600" cy="384810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'Asistencia '!T24:V24">
        <xdr:nvSpPr>
          <xdr:cNvPr id="16" name="Rectángulo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SpPr/>
        </xdr:nvSpPr>
        <xdr:spPr>
          <a:xfrm>
            <a:off x="7124700" y="1743075"/>
            <a:ext cx="400050" cy="2286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9B1C8C7D-1A3F-43EB-9D16-CF8B2A4C742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34</a:t>
            </a:fld>
            <a:endParaRPr lang="es-MX" sz="110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190500</xdr:colOff>
      <xdr:row>45</xdr:row>
      <xdr:rowOff>95250</xdr:rowOff>
    </xdr:from>
    <xdr:ext cx="385763" cy="19050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28860750" y="8343900"/>
          <a:ext cx="385763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s-MX" sz="1200" i="0">
              <a:solidFill>
                <a:srgbClr val="836967"/>
              </a:solidFill>
              <a:latin typeface="Cambria Math" panose="02040503050406030204" pitchFamily="18" charset="0"/>
            </a:rPr>
            <a:t>∑128▒</a:t>
          </a:r>
          <a:r>
            <a:rPr lang="es-MX" sz="1200" i="0">
              <a:latin typeface="Cambria Math" panose="02040503050406030204" pitchFamily="18" charset="0"/>
            </a:rPr>
            <a:t>𝑓</a:t>
          </a:r>
          <a:r>
            <a:rPr lang="es-MX" sz="1200" i="0">
              <a:solidFill>
                <a:srgbClr val="836967"/>
              </a:solidFill>
              <a:latin typeface="Cambria Math" panose="02040503050406030204" pitchFamily="18" charset="0"/>
            </a:rPr>
            <a:t>_</a:t>
          </a:r>
          <a:r>
            <a:rPr lang="es-MX" sz="1200" i="0">
              <a:latin typeface="Cambria Math" panose="02040503050406030204" pitchFamily="18" charset="0"/>
            </a:rPr>
            <a:t>𝑖 </a:t>
          </a:r>
          <a:r>
            <a:rPr lang="es-MX" sz="1200"/>
            <a:t>=</a:t>
          </a:r>
        </a:p>
      </xdr:txBody>
    </xdr:sp>
    <xdr:clientData/>
  </xdr:oneCellAnchor>
  <xdr:oneCellAnchor>
    <xdr:from>
      <xdr:col>24</xdr:col>
      <xdr:colOff>301625</xdr:colOff>
      <xdr:row>45</xdr:row>
      <xdr:rowOff>95250</xdr:rowOff>
    </xdr:from>
    <xdr:ext cx="385763" cy="19050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32019875" y="8343900"/>
          <a:ext cx="385763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s-MX" sz="1200" i="0">
              <a:solidFill>
                <a:srgbClr val="836967"/>
              </a:solidFill>
              <a:latin typeface="Cambria Math" panose="02040503050406030204" pitchFamily="18" charset="0"/>
            </a:rPr>
            <a:t>∑128▒</a:t>
          </a:r>
          <a:r>
            <a:rPr lang="es-MX" sz="1200" b="0" i="0">
              <a:solidFill>
                <a:srgbClr val="836967"/>
              </a:solidFill>
              <a:latin typeface="Cambria Math" panose="02040503050406030204" pitchFamily="18" charset="0"/>
            </a:rPr>
            <a:t>ℎ_</a:t>
          </a:r>
          <a:r>
            <a:rPr lang="es-MX" sz="1200" i="0">
              <a:latin typeface="Cambria Math" panose="02040503050406030204" pitchFamily="18" charset="0"/>
            </a:rPr>
            <a:t>𝑖 </a:t>
          </a:r>
          <a:r>
            <a:rPr lang="es-MX" sz="1200"/>
            <a:t>=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581025</xdr:colOff>
          <xdr:row>37</xdr:row>
          <xdr:rowOff>114300</xdr:rowOff>
        </xdr:from>
        <xdr:to>
          <xdr:col>16</xdr:col>
          <xdr:colOff>685800</xdr:colOff>
          <xdr:row>40</xdr:row>
          <xdr:rowOff>57150</xdr:rowOff>
        </xdr:to>
        <xdr:sp macro="" textlink="">
          <xdr:nvSpPr>
            <xdr:cNvPr id="6145" name="Button 1" descr="REGRESAR 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MX" sz="1800" b="0" i="0" u="none" strike="noStrike" baseline="0">
                  <a:solidFill>
                    <a:srgbClr val="339966"/>
                  </a:solidFill>
                  <a:latin typeface="WTF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695325</xdr:colOff>
          <xdr:row>37</xdr:row>
          <xdr:rowOff>123825</xdr:rowOff>
        </xdr:from>
        <xdr:to>
          <xdr:col>32</xdr:col>
          <xdr:colOff>47625</xdr:colOff>
          <xdr:row>40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MX" sz="1800" b="0" i="0" u="none" strike="noStrike" baseline="0">
                  <a:solidFill>
                    <a:srgbClr val="0000FF"/>
                  </a:solidFill>
                  <a:latin typeface="WTF"/>
                </a:rPr>
                <a:t>AVANZAR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444500</xdr:colOff>
      <xdr:row>3</xdr:row>
      <xdr:rowOff>166688</xdr:rowOff>
    </xdr:from>
    <xdr:to>
      <xdr:col>35</xdr:col>
      <xdr:colOff>698501</xdr:colOff>
      <xdr:row>38</xdr:row>
      <xdr:rowOff>142875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pSpPr/>
      </xdr:nvGrpSpPr>
      <xdr:grpSpPr>
        <a:xfrm>
          <a:off x="5016500" y="738188"/>
          <a:ext cx="22352001" cy="6643687"/>
          <a:chOff x="7683500" y="3810000"/>
          <a:chExt cx="22352001" cy="66436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aphicFramePr>
            <a:graphicFrameLocks/>
          </xdr:cNvGraphicFramePr>
        </xdr:nvGraphicFramePr>
        <xdr:xfrm>
          <a:off x="7683500" y="3810000"/>
          <a:ext cx="22352000" cy="622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 txBox="1"/>
        </xdr:nvSpPr>
        <xdr:spPr>
          <a:xfrm>
            <a:off x="7683501" y="10029825"/>
            <a:ext cx="22352000" cy="4238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100"/>
              <a:t>NOTA: Gráfico del</a:t>
            </a:r>
            <a:r>
              <a:rPr lang="es-MX" sz="1100" baseline="0"/>
              <a:t> Calendario de actividades a realizar</a:t>
            </a:r>
            <a:r>
              <a:rPr lang="es-MX" sz="1100"/>
              <a:t>, proyecto de mantenimiento de areas verdes.</a:t>
            </a:r>
            <a:r>
              <a:rPr lang="es-MX" sz="1100" baseline="0"/>
              <a:t> Alumnos del 6B Matutino</a:t>
            </a:r>
            <a:endParaRPr lang="es-MX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485775</xdr:colOff>
          <xdr:row>42</xdr:row>
          <xdr:rowOff>19050</xdr:rowOff>
        </xdr:from>
        <xdr:to>
          <xdr:col>21</xdr:col>
          <xdr:colOff>581025</xdr:colOff>
          <xdr:row>44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800000"/>
                  </a:solidFill>
                  <a:latin typeface="WTF"/>
                </a:rPr>
                <a:t>REGRESAR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</xdr:colOff>
          <xdr:row>42</xdr:row>
          <xdr:rowOff>19050</xdr:rowOff>
        </xdr:from>
        <xdr:to>
          <xdr:col>24</xdr:col>
          <xdr:colOff>381000</xdr:colOff>
          <xdr:row>44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FF"/>
                  </a:solidFill>
                  <a:latin typeface="WTF"/>
                </a:rPr>
                <a:t>AVANZAR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7</xdr:row>
          <xdr:rowOff>161925</xdr:rowOff>
        </xdr:from>
        <xdr:to>
          <xdr:col>2</xdr:col>
          <xdr:colOff>628650</xdr:colOff>
          <xdr:row>10</xdr:row>
          <xdr:rowOff>47625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800000"/>
                  </a:solidFill>
                  <a:latin typeface="WTF"/>
                </a:rPr>
                <a:t>REGRESAR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485774</xdr:colOff>
      <xdr:row>0</xdr:row>
      <xdr:rowOff>176212</xdr:rowOff>
    </xdr:from>
    <xdr:to>
      <xdr:col>12</xdr:col>
      <xdr:colOff>695325</xdr:colOff>
      <xdr:row>20</xdr:row>
      <xdr:rowOff>19050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2771774" y="176212"/>
          <a:ext cx="7067551" cy="3652838"/>
          <a:chOff x="3190874" y="176212"/>
          <a:chExt cx="6524625" cy="3652838"/>
        </a:xfrm>
      </xdr:grpSpPr>
      <xdr:graphicFrame macro="">
        <xdr:nvGraphicFramePr>
          <xdr:cNvPr id="2" name="Diagrama 1">
            <a:extLst>
              <a:ext uri="{FF2B5EF4-FFF2-40B4-BE49-F238E27FC236}">
                <a16:creationId xmlns:a16="http://schemas.microsoft.com/office/drawing/2014/main" id="{00000000-0008-0000-0A00-000002000000}"/>
              </a:ext>
            </a:extLst>
          </xdr:cNvPr>
          <xdr:cNvGraphicFramePr/>
        </xdr:nvGraphicFramePr>
        <xdr:xfrm>
          <a:off x="3190874" y="176212"/>
          <a:ext cx="6524625" cy="3652838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Tiempo!F31">
        <xdr:nvSpPr>
          <xdr:cNvPr id="3" name="Rectángulo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6000750" y="981075"/>
            <a:ext cx="838200" cy="2000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A3C27E7-622B-4C03-93D1-6E5E5375254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660</a:t>
            </a:fld>
            <a:endParaRPr lang="es-MX" sz="1100"/>
          </a:p>
        </xdr:txBody>
      </xdr:sp>
      <xdr:sp macro="" textlink="Tiempo!F34">
        <xdr:nvSpPr>
          <xdr:cNvPr id="4" name="Rectángulo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4800600" y="2286000"/>
            <a:ext cx="838200" cy="2000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96AD85A-FD34-4065-B008-CD1A559F599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540</a:t>
            </a:fld>
            <a:endParaRPr lang="es-MX" sz="1100"/>
          </a:p>
        </xdr:txBody>
      </xdr:sp>
      <xdr:sp macro="" textlink="Tiempo!F32">
        <xdr:nvSpPr>
          <xdr:cNvPr id="5" name="Rectángulo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7296150" y="2238375"/>
            <a:ext cx="838200" cy="2000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0A39A74-9D3B-4F26-96C9-417BC07EB55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1380</a:t>
            </a:fld>
            <a:endParaRPr lang="es-MX" sz="1100"/>
          </a:p>
        </xdr:txBody>
      </xdr:sp>
      <xdr:sp macro="" textlink="Tiempo!F33">
        <xdr:nvSpPr>
          <xdr:cNvPr id="6" name="Rectángul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>
          <a:xfrm>
            <a:off x="6038850" y="2828925"/>
            <a:ext cx="838200" cy="2000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C8497AF-6717-4192-AE4B-97E47DB20D3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180</a:t>
            </a:fld>
            <a:endParaRPr lang="es-MX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Mantenimiento%20de%20areas%20verdes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80"/>
  <sheetViews>
    <sheetView showGridLines="0" showRowColHeaders="0" tabSelected="1" zoomScale="91" zoomScaleNormal="91" workbookViewId="0">
      <selection activeCell="G14" sqref="G14:L15"/>
    </sheetView>
  </sheetViews>
  <sheetFormatPr baseColWidth="10" defaultRowHeight="15"/>
  <sheetData>
    <row r="2" spans="1:15">
      <c r="D2" s="33" t="s">
        <v>95</v>
      </c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1:15"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</row>
    <row r="5" spans="1:15">
      <c r="A5" s="18"/>
      <c r="C5" s="18"/>
    </row>
    <row r="8" spans="1:15">
      <c r="G8" s="32" t="s">
        <v>96</v>
      </c>
      <c r="H8" s="32"/>
      <c r="I8" s="32"/>
      <c r="J8" s="32"/>
      <c r="K8" s="32"/>
      <c r="L8" s="32"/>
    </row>
    <row r="9" spans="1:15">
      <c r="G9" s="32"/>
      <c r="H9" s="32"/>
      <c r="I9" s="32"/>
      <c r="J9" s="32"/>
      <c r="K9" s="32"/>
      <c r="L9" s="32"/>
    </row>
    <row r="10" spans="1:15">
      <c r="G10" s="32" t="s">
        <v>97</v>
      </c>
      <c r="H10" s="32"/>
      <c r="I10" s="32"/>
      <c r="J10" s="32"/>
      <c r="K10" s="32"/>
      <c r="L10" s="32"/>
    </row>
    <row r="11" spans="1:15">
      <c r="G11" s="32"/>
      <c r="H11" s="32"/>
      <c r="I11" s="32"/>
      <c r="J11" s="32"/>
      <c r="K11" s="32"/>
      <c r="L11" s="32"/>
    </row>
    <row r="12" spans="1:15">
      <c r="G12" s="32" t="s">
        <v>98</v>
      </c>
      <c r="H12" s="32"/>
      <c r="I12" s="32"/>
      <c r="J12" s="32"/>
      <c r="K12" s="32"/>
      <c r="L12" s="32"/>
    </row>
    <row r="13" spans="1:15">
      <c r="G13" s="32"/>
      <c r="H13" s="32"/>
      <c r="I13" s="32"/>
      <c r="J13" s="32"/>
      <c r="K13" s="32"/>
      <c r="L13" s="32"/>
    </row>
    <row r="14" spans="1:15">
      <c r="G14" s="32" t="s">
        <v>99</v>
      </c>
      <c r="H14" s="32"/>
      <c r="I14" s="32"/>
      <c r="J14" s="32"/>
      <c r="K14" s="32"/>
      <c r="L14" s="32"/>
    </row>
    <row r="15" spans="1:15">
      <c r="G15" s="32"/>
      <c r="H15" s="32"/>
      <c r="I15" s="32"/>
      <c r="J15" s="32"/>
      <c r="K15" s="32"/>
      <c r="L15" s="32"/>
    </row>
    <row r="16" spans="1:15">
      <c r="G16" s="32" t="s">
        <v>100</v>
      </c>
      <c r="H16" s="32"/>
      <c r="I16" s="32"/>
      <c r="J16" s="32"/>
      <c r="K16" s="32"/>
      <c r="L16" s="32"/>
    </row>
    <row r="17" spans="5:14">
      <c r="G17" s="32"/>
      <c r="H17" s="32"/>
      <c r="I17" s="32"/>
      <c r="J17" s="32"/>
      <c r="K17" s="32"/>
      <c r="L17" s="32"/>
    </row>
    <row r="18" spans="5:14">
      <c r="G18" s="32" t="s">
        <v>101</v>
      </c>
      <c r="H18" s="32"/>
      <c r="I18" s="32"/>
      <c r="J18" s="32"/>
      <c r="K18" s="32"/>
      <c r="L18" s="32"/>
    </row>
    <row r="19" spans="5:14">
      <c r="G19" s="32"/>
      <c r="H19" s="32"/>
      <c r="I19" s="32"/>
      <c r="J19" s="32"/>
      <c r="K19" s="32"/>
      <c r="L19" s="32"/>
    </row>
    <row r="23" spans="5:14">
      <c r="E23" s="32" t="s">
        <v>102</v>
      </c>
      <c r="F23" s="32"/>
      <c r="G23" s="32"/>
      <c r="H23" s="32"/>
      <c r="I23" s="32"/>
      <c r="J23" s="32"/>
      <c r="K23" s="32"/>
      <c r="L23" s="32"/>
      <c r="M23" s="32"/>
      <c r="N23" s="32"/>
    </row>
    <row r="24" spans="5:14">
      <c r="E24" s="32"/>
      <c r="F24" s="32"/>
      <c r="G24" s="32"/>
      <c r="H24" s="32"/>
      <c r="I24" s="32"/>
      <c r="J24" s="32"/>
      <c r="K24" s="32"/>
      <c r="L24" s="32"/>
      <c r="M24" s="32"/>
      <c r="N24" s="32"/>
    </row>
    <row r="25" spans="5:14">
      <c r="E25" s="32"/>
      <c r="F25" s="32"/>
      <c r="G25" s="32"/>
      <c r="H25" s="32"/>
      <c r="I25" s="32"/>
      <c r="J25" s="32"/>
      <c r="K25" s="32"/>
      <c r="L25" s="32"/>
      <c r="M25" s="32"/>
      <c r="N25" s="32"/>
    </row>
    <row r="40" spans="1:1">
      <c r="A40" s="18"/>
    </row>
    <row r="80" spans="1:1">
      <c r="A80" s="18" t="s">
        <v>170</v>
      </c>
    </row>
  </sheetData>
  <mergeCells count="8">
    <mergeCell ref="G18:L19"/>
    <mergeCell ref="E23:N25"/>
    <mergeCell ref="D2:O3"/>
    <mergeCell ref="G8:L9"/>
    <mergeCell ref="G10:L11"/>
    <mergeCell ref="G12:L13"/>
    <mergeCell ref="G14:L15"/>
    <mergeCell ref="G16:L17"/>
  </mergeCells>
  <hyperlinks>
    <hyperlink ref="A80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enu">
                <anchor moveWithCells="1" sizeWithCells="1">
                  <from>
                    <xdr:col>15</xdr:col>
                    <xdr:colOff>466725</xdr:colOff>
                    <xdr:row>12</xdr:row>
                    <xdr:rowOff>123825</xdr:rowOff>
                  </from>
                  <to>
                    <xdr:col>17</xdr:col>
                    <xdr:colOff>561975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rirUrls">
                <anchor moveWithCells="1" sizeWithCells="1">
                  <from>
                    <xdr:col>1</xdr:col>
                    <xdr:colOff>428625</xdr:colOff>
                    <xdr:row>12</xdr:row>
                    <xdr:rowOff>114300</xdr:rowOff>
                  </from>
                  <to>
                    <xdr:col>3</xdr:col>
                    <xdr:colOff>523875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pageSetUpPr fitToPage="1"/>
  </sheetPr>
  <dimension ref="C1:P4"/>
  <sheetViews>
    <sheetView showGridLines="0" showRowColHeaders="0" zoomScale="96" zoomScaleNormal="96" workbookViewId="0"/>
  </sheetViews>
  <sheetFormatPr baseColWidth="10" defaultRowHeight="15"/>
  <cols>
    <col min="16" max="16" width="7.5703125" customWidth="1"/>
    <col min="17" max="17" width="13.140625" customWidth="1"/>
  </cols>
  <sheetData>
    <row r="1" spans="3:16" ht="15" customHeight="1"/>
    <row r="2" spans="3:16" ht="15" customHeight="1"/>
    <row r="3" spans="3:16">
      <c r="C3" s="34" t="s">
        <v>169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</row>
    <row r="4" spans="3:16"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</row>
  </sheetData>
  <mergeCells count="1">
    <mergeCell ref="C3:P4"/>
  </mergeCells>
  <pageMargins left="0.70866141732283472" right="0.70866141732283472" top="0.74803149606299213" bottom="0.74803149606299213" header="0.31496062992125984" footer="0.31496062992125984"/>
  <pageSetup paperSize="9" scale="46" orientation="portrait" r:id="rId1"/>
  <headerFooter>
    <oddHeader>&amp;CMENU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4" name="Button 8">
              <controlPr defaultSize="0" print="0" autoFill="0" autoPict="0" macro="[0]!presentacion" altText="REGRESAR ">
                <anchor moveWithCells="1" sizeWithCells="1">
                  <from>
                    <xdr:col>0</xdr:col>
                    <xdr:colOff>390525</xdr:colOff>
                    <xdr:row>10</xdr:row>
                    <xdr:rowOff>85725</xdr:rowOff>
                  </from>
                  <to>
                    <xdr:col>2</xdr:col>
                    <xdr:colOff>76200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B1:DZ46"/>
  <sheetViews>
    <sheetView showGridLines="0" showRowColHeaders="0" zoomScale="60" zoomScaleNormal="60" workbookViewId="0"/>
  </sheetViews>
  <sheetFormatPr baseColWidth="10" defaultRowHeight="15"/>
  <cols>
    <col min="5" max="5" width="15.7109375" customWidth="1"/>
    <col min="7" max="7" width="13.85546875" customWidth="1"/>
    <col min="8" max="8" width="14" customWidth="1"/>
    <col min="10" max="10" width="16" customWidth="1"/>
    <col min="12" max="12" width="6.5703125" customWidth="1"/>
    <col min="13" max="16" width="5.7109375" customWidth="1"/>
    <col min="17" max="17" width="3.28515625" customWidth="1"/>
    <col min="18" max="18" width="12.7109375" customWidth="1"/>
    <col min="19" max="20" width="5.7109375" customWidth="1"/>
    <col min="21" max="21" width="16.7109375" customWidth="1"/>
    <col min="22" max="22" width="14.7109375" customWidth="1"/>
    <col min="23" max="23" width="8.28515625" customWidth="1"/>
    <col min="24" max="26" width="5.7109375" customWidth="1"/>
    <col min="27" max="27" width="5" customWidth="1"/>
    <col min="28" max="28" width="18.7109375" customWidth="1"/>
    <col min="29" max="32" width="15.7109375" customWidth="1"/>
    <col min="33" max="58" width="5.7109375" customWidth="1"/>
    <col min="61" max="61" width="16.5703125" customWidth="1"/>
    <col min="78" max="78" width="14.7109375" customWidth="1"/>
  </cols>
  <sheetData>
    <row r="1" spans="2:130"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</row>
    <row r="2" spans="2:130" ht="15" customHeight="1"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2"/>
      <c r="CL2" s="22"/>
      <c r="CM2" s="22"/>
      <c r="CN2" s="22"/>
      <c r="CO2" s="22"/>
      <c r="CP2" s="22"/>
      <c r="CQ2" s="22"/>
      <c r="CR2" s="22"/>
      <c r="CS2" s="22"/>
      <c r="CT2" s="22"/>
      <c r="CU2" s="22"/>
      <c r="CV2" s="22"/>
      <c r="CW2" s="22"/>
      <c r="CX2" s="22"/>
      <c r="CY2" s="22"/>
    </row>
    <row r="3" spans="2:130" ht="15" customHeight="1">
      <c r="B3" s="22"/>
      <c r="C3" s="22"/>
      <c r="D3" s="42" t="s">
        <v>84</v>
      </c>
      <c r="E3" s="42"/>
      <c r="F3" s="42"/>
      <c r="G3" s="42"/>
      <c r="H3" s="42"/>
      <c r="I3" s="42"/>
      <c r="J3" s="42"/>
      <c r="K3" s="42"/>
      <c r="L3" s="22"/>
      <c r="M3" s="22"/>
      <c r="N3" s="22"/>
      <c r="O3" s="22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</row>
    <row r="4" spans="2:130" ht="15" customHeight="1">
      <c r="B4" s="22"/>
      <c r="C4" s="22"/>
      <c r="D4" s="42"/>
      <c r="E4" s="42"/>
      <c r="F4" s="42"/>
      <c r="G4" s="42"/>
      <c r="H4" s="42"/>
      <c r="I4" s="42"/>
      <c r="J4" s="42"/>
      <c r="K4" s="4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</row>
    <row r="5" spans="2:130" ht="15" customHeight="1">
      <c r="P5" s="22"/>
      <c r="Q5" s="22"/>
      <c r="R5" s="22"/>
      <c r="S5" s="22"/>
      <c r="T5" s="22"/>
      <c r="U5" s="22"/>
      <c r="V5" s="22"/>
      <c r="W5" s="22"/>
    </row>
    <row r="6" spans="2:130" ht="13.5" customHeight="1">
      <c r="E6" s="48" t="s">
        <v>27</v>
      </c>
      <c r="F6" s="48"/>
      <c r="G6" s="48"/>
      <c r="H6" s="48"/>
      <c r="I6" s="48"/>
      <c r="J6" s="48"/>
      <c r="K6" s="1"/>
      <c r="DY6" s="9"/>
      <c r="DZ6" s="9"/>
    </row>
    <row r="7" spans="2:130" ht="15" customHeight="1">
      <c r="E7" s="47" t="s">
        <v>18</v>
      </c>
      <c r="F7" s="47"/>
      <c r="G7" s="47"/>
      <c r="H7" s="2" t="s">
        <v>19</v>
      </c>
      <c r="I7" s="19" t="s">
        <v>51</v>
      </c>
      <c r="J7" s="2" t="s">
        <v>20</v>
      </c>
    </row>
    <row r="8" spans="2:130" ht="15" customHeight="1">
      <c r="E8" s="46" t="s">
        <v>21</v>
      </c>
      <c r="F8" s="46"/>
      <c r="G8" s="46"/>
      <c r="H8" s="25">
        <v>3</v>
      </c>
      <c r="I8" s="26">
        <v>45</v>
      </c>
      <c r="J8" s="26">
        <f t="shared" ref="J8:J22" si="0">H8*I8</f>
        <v>135</v>
      </c>
      <c r="DY8" s="1"/>
      <c r="DZ8" s="1"/>
    </row>
    <row r="9" spans="2:130" ht="15" customHeight="1">
      <c r="E9" s="46" t="s">
        <v>22</v>
      </c>
      <c r="F9" s="46"/>
      <c r="G9" s="46"/>
      <c r="H9" s="25">
        <v>1</v>
      </c>
      <c r="I9" s="26">
        <v>135</v>
      </c>
      <c r="J9" s="26">
        <f t="shared" si="0"/>
        <v>135</v>
      </c>
      <c r="DY9" s="1"/>
      <c r="DZ9" s="1"/>
    </row>
    <row r="10" spans="2:130" ht="15" customHeight="1">
      <c r="E10" s="46" t="s">
        <v>23</v>
      </c>
      <c r="F10" s="46"/>
      <c r="G10" s="46"/>
      <c r="H10" s="25">
        <v>1</v>
      </c>
      <c r="I10" s="26">
        <v>135</v>
      </c>
      <c r="J10" s="26">
        <f t="shared" si="0"/>
        <v>135</v>
      </c>
      <c r="DY10" s="1"/>
      <c r="DZ10" s="1"/>
    </row>
    <row r="11" spans="2:130" ht="15" customHeight="1">
      <c r="E11" s="49" t="s">
        <v>166</v>
      </c>
      <c r="F11" s="50"/>
      <c r="G11" s="51"/>
      <c r="H11" s="25">
        <v>1</v>
      </c>
      <c r="I11" s="26">
        <v>135</v>
      </c>
      <c r="J11" s="26">
        <f>H11*I11</f>
        <v>135</v>
      </c>
      <c r="N11" s="38" t="s">
        <v>165</v>
      </c>
      <c r="O11" s="39"/>
      <c r="P11" s="39"/>
      <c r="Q11" s="40"/>
      <c r="R11" s="38" t="s">
        <v>164</v>
      </c>
      <c r="S11" s="40"/>
      <c r="T11" s="38" t="s">
        <v>160</v>
      </c>
      <c r="U11" s="40"/>
      <c r="V11" s="38" t="s">
        <v>161</v>
      </c>
      <c r="W11" s="40"/>
      <c r="X11" s="47" t="s">
        <v>162</v>
      </c>
      <c r="Y11" s="47"/>
      <c r="Z11" s="47"/>
      <c r="AA11" s="47"/>
      <c r="DY11" s="1"/>
      <c r="DZ11" s="1"/>
    </row>
    <row r="12" spans="2:130">
      <c r="E12" s="46" t="s">
        <v>24</v>
      </c>
      <c r="F12" s="46"/>
      <c r="G12" s="46"/>
      <c r="H12" s="25">
        <v>1</v>
      </c>
      <c r="I12" s="26">
        <v>135</v>
      </c>
      <c r="J12" s="26">
        <f t="shared" si="0"/>
        <v>135</v>
      </c>
      <c r="N12" s="52">
        <f>MIN(G26:G40)</f>
        <v>0</v>
      </c>
      <c r="O12" s="53"/>
      <c r="P12" s="53"/>
      <c r="Q12" s="54"/>
      <c r="R12" s="52">
        <f>MAX(G26:G40)</f>
        <v>450</v>
      </c>
      <c r="S12" s="55"/>
      <c r="T12" s="52">
        <f>AVERAGE(G26:G40)</f>
        <v>104.8</v>
      </c>
      <c r="U12" s="54"/>
      <c r="V12" s="52">
        <f>MEDIAN(G26:G40)</f>
        <v>80</v>
      </c>
      <c r="W12" s="55"/>
      <c r="X12" s="45">
        <f>MODE(G26:G40)</f>
        <v>135</v>
      </c>
      <c r="Y12" s="45"/>
      <c r="Z12" s="45"/>
      <c r="AA12" s="45"/>
      <c r="DY12" s="1"/>
      <c r="DZ12" s="1"/>
    </row>
    <row r="13" spans="2:130">
      <c r="E13" s="46" t="s">
        <v>25</v>
      </c>
      <c r="F13" s="46"/>
      <c r="G13" s="46"/>
      <c r="H13" s="25">
        <v>2</v>
      </c>
      <c r="I13" s="26">
        <v>17.5</v>
      </c>
      <c r="J13" s="26">
        <f t="shared" si="0"/>
        <v>35</v>
      </c>
      <c r="DY13" s="1"/>
      <c r="DZ13" s="1"/>
    </row>
    <row r="14" spans="2:130">
      <c r="E14" s="46" t="s">
        <v>10</v>
      </c>
      <c r="F14" s="46"/>
      <c r="G14" s="46"/>
      <c r="H14" s="25">
        <v>2</v>
      </c>
      <c r="I14" s="26">
        <v>6</v>
      </c>
      <c r="J14" s="26">
        <f t="shared" si="0"/>
        <v>12</v>
      </c>
      <c r="DY14" s="1"/>
      <c r="DZ14" s="1"/>
    </row>
    <row r="15" spans="2:130">
      <c r="E15" s="46" t="s">
        <v>11</v>
      </c>
      <c r="F15" s="46"/>
      <c r="G15" s="46"/>
      <c r="H15" s="25">
        <v>1</v>
      </c>
      <c r="I15" s="26">
        <v>50</v>
      </c>
      <c r="J15" s="26">
        <f t="shared" si="0"/>
        <v>50</v>
      </c>
    </row>
    <row r="16" spans="2:130" ht="15" customHeight="1">
      <c r="E16" s="46" t="s">
        <v>12</v>
      </c>
      <c r="F16" s="46"/>
      <c r="G16" s="46"/>
      <c r="H16" s="25">
        <v>6</v>
      </c>
      <c r="I16" s="26">
        <v>30</v>
      </c>
      <c r="J16" s="26">
        <f t="shared" si="0"/>
        <v>180</v>
      </c>
    </row>
    <row r="17" spans="5:11">
      <c r="E17" s="46" t="s">
        <v>26</v>
      </c>
      <c r="F17" s="46"/>
      <c r="G17" s="46"/>
      <c r="H17" s="25">
        <v>1</v>
      </c>
      <c r="I17" s="26">
        <v>50</v>
      </c>
      <c r="J17" s="26">
        <f t="shared" si="0"/>
        <v>50</v>
      </c>
    </row>
    <row r="18" spans="5:11" ht="15" customHeight="1">
      <c r="E18" s="46" t="s">
        <v>14</v>
      </c>
      <c r="F18" s="46"/>
      <c r="G18" s="46"/>
      <c r="H18" s="25">
        <v>1</v>
      </c>
      <c r="I18" s="26">
        <v>10</v>
      </c>
      <c r="J18" s="26">
        <f t="shared" si="0"/>
        <v>10</v>
      </c>
    </row>
    <row r="19" spans="5:11" ht="15" customHeight="1">
      <c r="E19" s="46" t="s">
        <v>15</v>
      </c>
      <c r="F19" s="46"/>
      <c r="G19" s="46"/>
      <c r="H19" s="25">
        <v>1</v>
      </c>
      <c r="I19" s="26">
        <v>0</v>
      </c>
      <c r="J19" s="26">
        <f t="shared" si="0"/>
        <v>0</v>
      </c>
    </row>
    <row r="20" spans="5:11" ht="15" customHeight="1">
      <c r="E20" s="46" t="s">
        <v>16</v>
      </c>
      <c r="F20" s="46"/>
      <c r="G20" s="46"/>
      <c r="H20" s="27">
        <v>0.5</v>
      </c>
      <c r="I20" s="26">
        <v>60</v>
      </c>
      <c r="J20" s="26">
        <f t="shared" si="0"/>
        <v>30</v>
      </c>
    </row>
    <row r="21" spans="5:11" ht="15" customHeight="1">
      <c r="E21" s="49" t="s">
        <v>167</v>
      </c>
      <c r="F21" s="50"/>
      <c r="G21" s="51"/>
      <c r="H21" s="28">
        <v>4</v>
      </c>
      <c r="I21" s="26">
        <v>20</v>
      </c>
      <c r="J21" s="26">
        <f>H21*I21</f>
        <v>80</v>
      </c>
    </row>
    <row r="22" spans="5:11">
      <c r="E22" s="46" t="s">
        <v>17</v>
      </c>
      <c r="F22" s="46"/>
      <c r="G22" s="46"/>
      <c r="H22" s="25">
        <v>9</v>
      </c>
      <c r="I22" s="26">
        <v>50</v>
      </c>
      <c r="J22" s="26">
        <f t="shared" si="0"/>
        <v>450</v>
      </c>
    </row>
    <row r="23" spans="5:11">
      <c r="J23" s="20">
        <f>SUM(J8:J22)</f>
        <v>1572</v>
      </c>
    </row>
    <row r="25" spans="5:11">
      <c r="E25" s="47" t="s">
        <v>0</v>
      </c>
      <c r="F25" s="47"/>
      <c r="G25" s="2" t="s">
        <v>3</v>
      </c>
      <c r="H25" s="2" t="s">
        <v>4</v>
      </c>
      <c r="I25" s="2" t="s">
        <v>1</v>
      </c>
      <c r="J25" s="2" t="s">
        <v>2</v>
      </c>
    </row>
    <row r="26" spans="5:11">
      <c r="E26" s="35" t="s">
        <v>5</v>
      </c>
      <c r="F26" s="35"/>
      <c r="G26" s="26">
        <f t="shared" ref="G26:G40" si="1">J8</f>
        <v>135</v>
      </c>
      <c r="H26" s="29">
        <f>G26</f>
        <v>135</v>
      </c>
      <c r="I26" s="25">
        <f>(G26/G41)</f>
        <v>8.5877862595419852E-2</v>
      </c>
      <c r="J26" s="30">
        <f>(H26/G41)</f>
        <v>8.5877862595419852E-2</v>
      </c>
      <c r="K26" s="4"/>
    </row>
    <row r="27" spans="5:11">
      <c r="E27" s="35" t="s">
        <v>6</v>
      </c>
      <c r="F27" s="35"/>
      <c r="G27" s="26">
        <f t="shared" si="1"/>
        <v>135</v>
      </c>
      <c r="H27" s="29">
        <f>SUM(H26,G27)</f>
        <v>270</v>
      </c>
      <c r="I27" s="25">
        <f>(G27/G41)</f>
        <v>8.5877862595419852E-2</v>
      </c>
      <c r="J27" s="30">
        <f>(H27/G41)</f>
        <v>0.1717557251908397</v>
      </c>
      <c r="K27" s="4"/>
    </row>
    <row r="28" spans="5:11">
      <c r="E28" s="35" t="s">
        <v>7</v>
      </c>
      <c r="F28" s="35"/>
      <c r="G28" s="26">
        <f t="shared" si="1"/>
        <v>135</v>
      </c>
      <c r="H28" s="26">
        <f>SUM(H27,G28)</f>
        <v>405</v>
      </c>
      <c r="I28" s="25">
        <f>(G28/G41)</f>
        <v>8.5877862595419852E-2</v>
      </c>
      <c r="J28" s="30">
        <f>(H28/G41)</f>
        <v>0.25763358778625955</v>
      </c>
      <c r="K28" s="4"/>
    </row>
    <row r="29" spans="5:11">
      <c r="E29" s="36" t="s">
        <v>168</v>
      </c>
      <c r="F29" s="37"/>
      <c r="G29" s="26">
        <f t="shared" si="1"/>
        <v>135</v>
      </c>
      <c r="H29" s="26">
        <f>H28+G29</f>
        <v>540</v>
      </c>
      <c r="I29" s="25">
        <f>(G29/G41)</f>
        <v>8.5877862595419852E-2</v>
      </c>
      <c r="J29" s="30">
        <f>(H29/G41)</f>
        <v>0.34351145038167941</v>
      </c>
      <c r="K29" s="4"/>
    </row>
    <row r="30" spans="5:11">
      <c r="E30" s="35" t="s">
        <v>8</v>
      </c>
      <c r="F30" s="35"/>
      <c r="G30" s="26">
        <f t="shared" si="1"/>
        <v>135</v>
      </c>
      <c r="H30" s="26">
        <f>SUM(G30,H29)</f>
        <v>675</v>
      </c>
      <c r="I30" s="25">
        <f>(G30/G41)</f>
        <v>8.5877862595419852E-2</v>
      </c>
      <c r="J30" s="30">
        <f>(H30/G41)</f>
        <v>0.42938931297709926</v>
      </c>
      <c r="K30" s="4"/>
    </row>
    <row r="31" spans="5:11">
      <c r="E31" s="35" t="s">
        <v>9</v>
      </c>
      <c r="F31" s="35"/>
      <c r="G31" s="26">
        <f t="shared" si="1"/>
        <v>35</v>
      </c>
      <c r="H31" s="26">
        <f>SUM(H30,G31)</f>
        <v>710</v>
      </c>
      <c r="I31" s="25">
        <f>(G31/G41)</f>
        <v>2.2264631043256999E-2</v>
      </c>
      <c r="J31" s="30">
        <f>(H31/G41)</f>
        <v>0.45165394402035625</v>
      </c>
      <c r="K31" s="4"/>
    </row>
    <row r="32" spans="5:11">
      <c r="E32" s="35" t="s">
        <v>10</v>
      </c>
      <c r="F32" s="35"/>
      <c r="G32" s="26">
        <f t="shared" si="1"/>
        <v>12</v>
      </c>
      <c r="H32" s="26">
        <f>SUM(H31,G32)</f>
        <v>722</v>
      </c>
      <c r="I32" s="25">
        <f>(G32/G41)</f>
        <v>7.6335877862595417E-3</v>
      </c>
      <c r="J32" s="30">
        <f>(H32/G41)</f>
        <v>0.4592875318066158</v>
      </c>
      <c r="K32" s="4"/>
    </row>
    <row r="33" spans="5:40">
      <c r="E33" s="35" t="s">
        <v>11</v>
      </c>
      <c r="F33" s="35"/>
      <c r="G33" s="26">
        <f t="shared" si="1"/>
        <v>50</v>
      </c>
      <c r="H33" s="26">
        <f>H32+G33</f>
        <v>772</v>
      </c>
      <c r="I33" s="25">
        <f>(G33/G41)</f>
        <v>3.1806615776081425E-2</v>
      </c>
      <c r="J33" s="30">
        <f>(H33/G41)</f>
        <v>0.4910941475826972</v>
      </c>
      <c r="K33" s="4"/>
    </row>
    <row r="34" spans="5:40">
      <c r="E34" s="35" t="s">
        <v>12</v>
      </c>
      <c r="F34" s="35"/>
      <c r="G34" s="26">
        <f t="shared" si="1"/>
        <v>180</v>
      </c>
      <c r="H34" s="26">
        <f>H33+G34</f>
        <v>952</v>
      </c>
      <c r="I34" s="25">
        <f>(G34/G41)</f>
        <v>0.11450381679389313</v>
      </c>
      <c r="J34" s="30">
        <f>(H34/G41)</f>
        <v>0.6055979643765903</v>
      </c>
      <c r="K34" s="4"/>
    </row>
    <row r="35" spans="5:40">
      <c r="E35" s="35" t="s">
        <v>13</v>
      </c>
      <c r="F35" s="35"/>
      <c r="G35" s="26">
        <f t="shared" si="1"/>
        <v>50</v>
      </c>
      <c r="H35" s="26">
        <f>H34+G35</f>
        <v>1002</v>
      </c>
      <c r="I35" s="25">
        <f>(G35/G41)</f>
        <v>3.1806615776081425E-2</v>
      </c>
      <c r="J35" s="30">
        <f>(H35/G41)</f>
        <v>0.63740458015267176</v>
      </c>
      <c r="K35" s="4"/>
    </row>
    <row r="36" spans="5:40">
      <c r="E36" s="35" t="s">
        <v>14</v>
      </c>
      <c r="F36" s="35"/>
      <c r="G36" s="26">
        <f t="shared" si="1"/>
        <v>10</v>
      </c>
      <c r="H36" s="26">
        <f t="shared" ref="H36" si="2">H35+G36</f>
        <v>1012</v>
      </c>
      <c r="I36" s="25">
        <f>(G36/G41)</f>
        <v>6.3613231552162846E-3</v>
      </c>
      <c r="J36" s="30">
        <f>(H36/G41)</f>
        <v>0.64376590330788808</v>
      </c>
      <c r="K36" s="4"/>
    </row>
    <row r="37" spans="5:40">
      <c r="E37" s="35" t="s">
        <v>15</v>
      </c>
      <c r="F37" s="35"/>
      <c r="G37" s="26">
        <f t="shared" si="1"/>
        <v>0</v>
      </c>
      <c r="H37" s="26">
        <f>H36+G37</f>
        <v>1012</v>
      </c>
      <c r="I37" s="25">
        <f>(G37/G41)</f>
        <v>0</v>
      </c>
      <c r="J37" s="30">
        <f>(H37/G41)</f>
        <v>0.64376590330788808</v>
      </c>
      <c r="K37" s="4"/>
    </row>
    <row r="38" spans="5:40">
      <c r="E38" s="35" t="s">
        <v>16</v>
      </c>
      <c r="F38" s="35"/>
      <c r="G38" s="26">
        <f t="shared" si="1"/>
        <v>30</v>
      </c>
      <c r="H38" s="26">
        <f>H37+G38</f>
        <v>1042</v>
      </c>
      <c r="I38" s="25">
        <f>(G38/G41)</f>
        <v>1.9083969465648856E-2</v>
      </c>
      <c r="J38" s="30">
        <f>(H38/G41)</f>
        <v>0.66284987277353691</v>
      </c>
      <c r="K38" s="4"/>
    </row>
    <row r="39" spans="5:40">
      <c r="E39" s="36" t="s">
        <v>167</v>
      </c>
      <c r="F39" s="37"/>
      <c r="G39" s="26">
        <f t="shared" si="1"/>
        <v>80</v>
      </c>
      <c r="H39" s="26">
        <f>H38+G39</f>
        <v>1122</v>
      </c>
      <c r="I39" s="25">
        <f>(G39/G41)</f>
        <v>5.0890585241730277E-2</v>
      </c>
      <c r="J39" s="30">
        <f>(H39/G41)</f>
        <v>0.7137404580152672</v>
      </c>
      <c r="K39" s="4"/>
    </row>
    <row r="40" spans="5:40">
      <c r="E40" s="35" t="s">
        <v>17</v>
      </c>
      <c r="F40" s="35"/>
      <c r="G40" s="26">
        <f t="shared" si="1"/>
        <v>450</v>
      </c>
      <c r="H40" s="26">
        <f>H38+G40</f>
        <v>1492</v>
      </c>
      <c r="I40" s="25">
        <f>(G40/G41)</f>
        <v>0.2862595419847328</v>
      </c>
      <c r="J40" s="31">
        <f>(H40/G41)</f>
        <v>0.94910941475826971</v>
      </c>
      <c r="K40" s="4"/>
    </row>
    <row r="41" spans="5:40">
      <c r="G41" s="43">
        <f>SUM(G26:G40)</f>
        <v>1572</v>
      </c>
      <c r="H41" s="10"/>
      <c r="I41" s="44">
        <f>SUM(I26:I40)</f>
        <v>1</v>
      </c>
      <c r="J41" s="1"/>
      <c r="K41" s="4"/>
    </row>
    <row r="42" spans="5:40">
      <c r="G42" s="43"/>
      <c r="H42" s="10"/>
      <c r="I42" s="45"/>
      <c r="J42" s="1"/>
      <c r="K42" s="41"/>
      <c r="AM42" s="1"/>
      <c r="AN42" s="1"/>
    </row>
    <row r="43" spans="5:40">
      <c r="G43" s="9"/>
      <c r="H43" s="9"/>
      <c r="I43" s="9"/>
      <c r="J43" s="1"/>
      <c r="K43" s="41"/>
    </row>
    <row r="45" spans="5:40" ht="15" customHeight="1"/>
    <row r="46" spans="5:40" ht="20.100000000000001" customHeight="1"/>
  </sheetData>
  <autoFilter ref="G25:J40" xr:uid="{00000000-0009-0000-0000-000002000000}"/>
  <mergeCells count="47">
    <mergeCell ref="E29:F29"/>
    <mergeCell ref="X11:AA11"/>
    <mergeCell ref="X12:AA12"/>
    <mergeCell ref="E8:G8"/>
    <mergeCell ref="E7:G7"/>
    <mergeCell ref="E21:G21"/>
    <mergeCell ref="N12:Q12"/>
    <mergeCell ref="R12:S12"/>
    <mergeCell ref="T11:U11"/>
    <mergeCell ref="T12:U12"/>
    <mergeCell ref="V11:W11"/>
    <mergeCell ref="V12:W12"/>
    <mergeCell ref="R11:S11"/>
    <mergeCell ref="E6:J6"/>
    <mergeCell ref="E17:G17"/>
    <mergeCell ref="E18:G18"/>
    <mergeCell ref="E15:G15"/>
    <mergeCell ref="E16:G16"/>
    <mergeCell ref="E14:G14"/>
    <mergeCell ref="E13:G13"/>
    <mergeCell ref="E12:G12"/>
    <mergeCell ref="E10:G10"/>
    <mergeCell ref="E9:G9"/>
    <mergeCell ref="E11:G11"/>
    <mergeCell ref="N11:Q11"/>
    <mergeCell ref="K42:K43"/>
    <mergeCell ref="D3:K4"/>
    <mergeCell ref="G41:G42"/>
    <mergeCell ref="I41:I42"/>
    <mergeCell ref="E22:G22"/>
    <mergeCell ref="E20:G20"/>
    <mergeCell ref="E19:G19"/>
    <mergeCell ref="E25:F25"/>
    <mergeCell ref="E37:F37"/>
    <mergeCell ref="E26:F26"/>
    <mergeCell ref="E27:F27"/>
    <mergeCell ref="E28:F28"/>
    <mergeCell ref="E30:F30"/>
    <mergeCell ref="E38:F38"/>
    <mergeCell ref="E40:F40"/>
    <mergeCell ref="E36:F36"/>
    <mergeCell ref="E39:F39"/>
    <mergeCell ref="E31:F31"/>
    <mergeCell ref="E32:F32"/>
    <mergeCell ref="E33:F33"/>
    <mergeCell ref="E34:F34"/>
    <mergeCell ref="E35:F35"/>
  </mergeCells>
  <phoneticPr fontId="3" type="noConversion"/>
  <pageMargins left="0.23622047244094491" right="0.23622047244094491" top="0.74803149606299213" bottom="0.74803149606299213" header="0.31496062992125984" footer="0.31496062992125984"/>
  <pageSetup paperSize="9" scale="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enu" altText="REGRESAR ">
                <anchor moveWithCells="1" sizeWithCells="1">
                  <from>
                    <xdr:col>0</xdr:col>
                    <xdr:colOff>609600</xdr:colOff>
                    <xdr:row>19</xdr:row>
                    <xdr:rowOff>104775</xdr:rowOff>
                  </from>
                  <to>
                    <xdr:col>3</xdr:col>
                    <xdr:colOff>314325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sto">
                <anchor moveWithCells="1" sizeWithCells="1">
                  <from>
                    <xdr:col>18</xdr:col>
                    <xdr:colOff>85725</xdr:colOff>
                    <xdr:row>20</xdr:row>
                    <xdr:rowOff>19050</xdr:rowOff>
                  </from>
                  <to>
                    <xdr:col>21</xdr:col>
                    <xdr:colOff>28575</xdr:colOff>
                    <xdr:row>23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"/>
  <sheetViews>
    <sheetView showGridLines="0" showRowColHeaders="0" workbookViewId="0"/>
  </sheetViews>
  <sheetFormatPr baseColWidth="10"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teriales">
                <anchor moveWithCells="1" sizeWithCells="1">
                  <from>
                    <xdr:col>0</xdr:col>
                    <xdr:colOff>523875</xdr:colOff>
                    <xdr:row>12</xdr:row>
                    <xdr:rowOff>66675</xdr:rowOff>
                  </from>
                  <to>
                    <xdr:col>2</xdr:col>
                    <xdr:colOff>381000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VC">
                <anchor moveWithCells="1" sizeWithCells="1">
                  <from>
                    <xdr:col>0</xdr:col>
                    <xdr:colOff>533400</xdr:colOff>
                    <xdr:row>8</xdr:row>
                    <xdr:rowOff>66675</xdr:rowOff>
                  </from>
                  <to>
                    <xdr:col>2</xdr:col>
                    <xdr:colOff>390525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A5F61-8F89-4D39-8387-277B96293A62}">
  <sheetPr codeName="Hoja9"/>
  <dimension ref="H4:I7"/>
  <sheetViews>
    <sheetView showGridLines="0" showRowColHeaders="0" workbookViewId="0"/>
  </sheetViews>
  <sheetFormatPr baseColWidth="10" defaultRowHeight="15"/>
  <cols>
    <col min="6" max="7" width="11.42578125" customWidth="1"/>
    <col min="9" max="9" width="11.28515625" customWidth="1"/>
  </cols>
  <sheetData>
    <row r="4" spans="8:9">
      <c r="H4" s="24"/>
      <c r="I4" s="24"/>
    </row>
    <row r="5" spans="8:9">
      <c r="H5" s="24"/>
      <c r="I5" s="24"/>
    </row>
    <row r="6" spans="8:9">
      <c r="H6" s="24"/>
      <c r="I6" s="24"/>
    </row>
    <row r="7" spans="8:9">
      <c r="H7" s="24"/>
      <c r="I7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costo">
                <anchor moveWithCells="1" sizeWithCells="1">
                  <from>
                    <xdr:col>1</xdr:col>
                    <xdr:colOff>161925</xdr:colOff>
                    <xdr:row>8</xdr:row>
                    <xdr:rowOff>57150</xdr:rowOff>
                  </from>
                  <to>
                    <xdr:col>2</xdr:col>
                    <xdr:colOff>742950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3:AY38"/>
  <sheetViews>
    <sheetView showGridLines="0" showRowColHeaders="0" zoomScale="50" zoomScaleNormal="50" workbookViewId="0"/>
  </sheetViews>
  <sheetFormatPr baseColWidth="10" defaultRowHeight="15"/>
  <sheetData>
    <row r="3" spans="1:51">
      <c r="A3" s="56" t="s">
        <v>84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</row>
    <row r="4" spans="1:51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</row>
    <row r="6" spans="1:51">
      <c r="B6" s="48" t="s">
        <v>28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1">
      <c r="B7" s="65" t="s">
        <v>39</v>
      </c>
      <c r="C7" s="65"/>
      <c r="D7" s="65"/>
      <c r="E7" s="60" t="s">
        <v>29</v>
      </c>
      <c r="F7" s="60"/>
      <c r="G7" s="60"/>
      <c r="H7" s="60"/>
      <c r="I7" s="60"/>
      <c r="J7" s="60"/>
      <c r="K7" s="60"/>
      <c r="L7" s="58" t="s">
        <v>30</v>
      </c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 t="s">
        <v>38</v>
      </c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 t="s">
        <v>31</v>
      </c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68" t="s">
        <v>49</v>
      </c>
    </row>
    <row r="8" spans="1:51">
      <c r="B8" s="66"/>
      <c r="C8" s="66"/>
      <c r="D8" s="66"/>
      <c r="E8" s="57" t="s">
        <v>85</v>
      </c>
      <c r="F8" s="57" t="s">
        <v>52</v>
      </c>
      <c r="G8" s="57" t="s">
        <v>53</v>
      </c>
      <c r="H8" s="57" t="s">
        <v>54</v>
      </c>
      <c r="I8" s="57" t="s">
        <v>55</v>
      </c>
      <c r="J8" s="57" t="s">
        <v>56</v>
      </c>
      <c r="K8" s="57" t="s">
        <v>57</v>
      </c>
      <c r="L8" s="57" t="s">
        <v>58</v>
      </c>
      <c r="M8" s="57" t="s">
        <v>59</v>
      </c>
      <c r="N8" s="57" t="s">
        <v>60</v>
      </c>
      <c r="O8" s="57" t="s">
        <v>61</v>
      </c>
      <c r="P8" s="57" t="s">
        <v>86</v>
      </c>
      <c r="Q8" s="57" t="s">
        <v>87</v>
      </c>
      <c r="R8" s="57" t="s">
        <v>62</v>
      </c>
      <c r="S8" s="57" t="s">
        <v>88</v>
      </c>
      <c r="T8" s="57" t="s">
        <v>89</v>
      </c>
      <c r="U8" s="57" t="s">
        <v>40</v>
      </c>
      <c r="V8" s="57" t="s">
        <v>41</v>
      </c>
      <c r="W8" s="57" t="s">
        <v>90</v>
      </c>
      <c r="X8" s="57" t="s">
        <v>63</v>
      </c>
      <c r="Y8" s="57" t="s">
        <v>42</v>
      </c>
      <c r="Z8" s="57" t="s">
        <v>64</v>
      </c>
      <c r="AA8" s="57" t="s">
        <v>65</v>
      </c>
      <c r="AB8" s="57" t="s">
        <v>66</v>
      </c>
      <c r="AC8" s="57" t="s">
        <v>91</v>
      </c>
      <c r="AD8" s="57" t="s">
        <v>67</v>
      </c>
      <c r="AE8" s="57" t="s">
        <v>68</v>
      </c>
      <c r="AF8" s="57" t="s">
        <v>72</v>
      </c>
      <c r="AG8" s="57" t="s">
        <v>73</v>
      </c>
      <c r="AH8" s="57" t="s">
        <v>92</v>
      </c>
      <c r="AI8" s="57" t="s">
        <v>74</v>
      </c>
      <c r="AJ8" s="57" t="s">
        <v>75</v>
      </c>
      <c r="AK8" s="57" t="s">
        <v>93</v>
      </c>
      <c r="AL8" s="57" t="s">
        <v>76</v>
      </c>
      <c r="AM8" s="57" t="s">
        <v>77</v>
      </c>
      <c r="AN8" s="57" t="s">
        <v>70</v>
      </c>
      <c r="AO8" s="57" t="s">
        <v>71</v>
      </c>
      <c r="AP8" s="57" t="s">
        <v>43</v>
      </c>
      <c r="AQ8" s="57" t="s">
        <v>44</v>
      </c>
      <c r="AR8" s="57" t="s">
        <v>94</v>
      </c>
      <c r="AS8" s="57" t="s">
        <v>69</v>
      </c>
      <c r="AT8" s="57" t="s">
        <v>46</v>
      </c>
      <c r="AU8" s="57" t="s">
        <v>45</v>
      </c>
      <c r="AV8" s="57" t="s">
        <v>47</v>
      </c>
      <c r="AW8" s="57" t="s">
        <v>48</v>
      </c>
      <c r="AX8" s="69"/>
    </row>
    <row r="9" spans="1:51">
      <c r="B9" s="66"/>
      <c r="C9" s="66"/>
      <c r="D9" s="66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69"/>
    </row>
    <row r="10" spans="1:51">
      <c r="B10" s="66"/>
      <c r="C10" s="66"/>
      <c r="D10" s="66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69"/>
    </row>
    <row r="11" spans="1:51">
      <c r="B11" s="66"/>
      <c r="C11" s="66"/>
      <c r="D11" s="66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69"/>
    </row>
    <row r="12" spans="1:51">
      <c r="B12" s="59" t="s">
        <v>33</v>
      </c>
      <c r="C12" s="59"/>
      <c r="D12" s="59"/>
      <c r="E12" s="25">
        <v>1</v>
      </c>
      <c r="F12" s="25">
        <v>1</v>
      </c>
      <c r="G12" s="25">
        <v>1</v>
      </c>
      <c r="H12" s="25">
        <v>1</v>
      </c>
      <c r="I12" s="25">
        <v>1</v>
      </c>
      <c r="J12" s="25">
        <v>1</v>
      </c>
      <c r="K12" s="25">
        <v>1</v>
      </c>
      <c r="L12" s="25">
        <v>1</v>
      </c>
      <c r="M12" s="25">
        <v>1</v>
      </c>
      <c r="N12" s="25">
        <v>1</v>
      </c>
      <c r="O12" s="25">
        <v>1</v>
      </c>
      <c r="P12" s="25">
        <v>1</v>
      </c>
      <c r="Q12" s="25">
        <v>1</v>
      </c>
      <c r="R12" s="25">
        <v>1</v>
      </c>
      <c r="S12" s="25">
        <v>1</v>
      </c>
      <c r="T12" s="25">
        <v>1</v>
      </c>
      <c r="U12" s="25">
        <v>1</v>
      </c>
      <c r="V12" s="25">
        <v>1</v>
      </c>
      <c r="W12" s="25">
        <v>1</v>
      </c>
      <c r="X12" s="25">
        <v>1</v>
      </c>
      <c r="Y12" s="25">
        <v>1</v>
      </c>
      <c r="Z12" s="25">
        <v>0</v>
      </c>
      <c r="AA12" s="25">
        <v>0</v>
      </c>
      <c r="AB12" s="25">
        <v>0</v>
      </c>
      <c r="AC12" s="25">
        <v>0</v>
      </c>
      <c r="AD12" s="25">
        <v>0</v>
      </c>
      <c r="AE12" s="25">
        <v>0</v>
      </c>
      <c r="AF12" s="25">
        <v>1</v>
      </c>
      <c r="AG12" s="25">
        <v>1</v>
      </c>
      <c r="AH12" s="25">
        <v>1</v>
      </c>
      <c r="AI12" s="25">
        <v>1</v>
      </c>
      <c r="AJ12" s="25">
        <v>1</v>
      </c>
      <c r="AK12" s="25">
        <v>1</v>
      </c>
      <c r="AL12" s="25">
        <v>1</v>
      </c>
      <c r="AM12" s="25">
        <v>1</v>
      </c>
      <c r="AN12" s="25">
        <v>1</v>
      </c>
      <c r="AO12" s="25">
        <v>1</v>
      </c>
      <c r="AP12" s="25">
        <v>1</v>
      </c>
      <c r="AQ12" s="25">
        <v>1</v>
      </c>
      <c r="AR12" s="25">
        <v>1</v>
      </c>
      <c r="AS12" s="25"/>
      <c r="AT12" s="25"/>
      <c r="AU12" s="25"/>
      <c r="AV12" s="25"/>
      <c r="AW12" s="25"/>
      <c r="AX12" s="25">
        <f t="shared" ref="AX12:AX17" si="0">SUM(E12:AW12)</f>
        <v>34</v>
      </c>
    </row>
    <row r="13" spans="1:51">
      <c r="B13" s="59" t="s">
        <v>34</v>
      </c>
      <c r="C13" s="59"/>
      <c r="D13" s="59"/>
      <c r="E13" s="25">
        <v>1</v>
      </c>
      <c r="F13" s="25">
        <v>1</v>
      </c>
      <c r="G13" s="25">
        <v>1</v>
      </c>
      <c r="H13" s="25">
        <v>1</v>
      </c>
      <c r="I13" s="25">
        <v>1</v>
      </c>
      <c r="J13" s="25">
        <v>1</v>
      </c>
      <c r="K13" s="25">
        <v>1</v>
      </c>
      <c r="L13" s="25">
        <v>1</v>
      </c>
      <c r="M13" s="25">
        <v>1</v>
      </c>
      <c r="N13" s="25">
        <v>1</v>
      </c>
      <c r="O13" s="25">
        <v>1</v>
      </c>
      <c r="P13" s="25">
        <v>1</v>
      </c>
      <c r="Q13" s="25">
        <v>1</v>
      </c>
      <c r="R13" s="25">
        <v>1</v>
      </c>
      <c r="S13" s="25">
        <v>1</v>
      </c>
      <c r="T13" s="25">
        <v>1</v>
      </c>
      <c r="U13" s="25">
        <v>1</v>
      </c>
      <c r="V13" s="25">
        <v>1</v>
      </c>
      <c r="W13" s="25">
        <v>1</v>
      </c>
      <c r="X13" s="25">
        <v>1</v>
      </c>
      <c r="Y13" s="25">
        <v>1</v>
      </c>
      <c r="Z13" s="25">
        <v>0</v>
      </c>
      <c r="AA13" s="25">
        <v>0</v>
      </c>
      <c r="AB13" s="25">
        <v>0</v>
      </c>
      <c r="AC13" s="25">
        <v>0</v>
      </c>
      <c r="AD13" s="25">
        <v>0</v>
      </c>
      <c r="AE13" s="25">
        <v>0</v>
      </c>
      <c r="AF13" s="25">
        <v>1</v>
      </c>
      <c r="AG13" s="25">
        <v>1</v>
      </c>
      <c r="AH13" s="25">
        <v>1</v>
      </c>
      <c r="AI13" s="25">
        <v>1</v>
      </c>
      <c r="AJ13" s="25">
        <v>1</v>
      </c>
      <c r="AK13" s="25">
        <v>1</v>
      </c>
      <c r="AL13" s="25">
        <v>1</v>
      </c>
      <c r="AM13" s="25">
        <v>1</v>
      </c>
      <c r="AN13" s="25">
        <v>1</v>
      </c>
      <c r="AO13" s="25">
        <v>1</v>
      </c>
      <c r="AP13" s="25">
        <v>1</v>
      </c>
      <c r="AQ13" s="25">
        <v>1</v>
      </c>
      <c r="AR13" s="25">
        <v>1</v>
      </c>
      <c r="AS13" s="25"/>
      <c r="AT13" s="25"/>
      <c r="AU13" s="25"/>
      <c r="AV13" s="25"/>
      <c r="AW13" s="25"/>
      <c r="AX13" s="25">
        <f t="shared" si="0"/>
        <v>34</v>
      </c>
    </row>
    <row r="14" spans="1:51">
      <c r="B14" s="59" t="s">
        <v>32</v>
      </c>
      <c r="C14" s="59"/>
      <c r="D14" s="59"/>
      <c r="E14" s="25">
        <v>1</v>
      </c>
      <c r="F14" s="25">
        <v>1</v>
      </c>
      <c r="G14" s="25">
        <v>1</v>
      </c>
      <c r="H14" s="25">
        <v>1</v>
      </c>
      <c r="I14" s="25">
        <v>1</v>
      </c>
      <c r="J14" s="25">
        <v>1</v>
      </c>
      <c r="K14" s="25">
        <v>1</v>
      </c>
      <c r="L14" s="25">
        <v>1</v>
      </c>
      <c r="M14" s="25">
        <v>1</v>
      </c>
      <c r="N14" s="25">
        <v>1</v>
      </c>
      <c r="O14" s="25">
        <v>1</v>
      </c>
      <c r="P14" s="25">
        <v>1</v>
      </c>
      <c r="Q14" s="25">
        <v>1</v>
      </c>
      <c r="R14" s="25">
        <v>1</v>
      </c>
      <c r="S14" s="25">
        <v>1</v>
      </c>
      <c r="T14" s="25">
        <v>1</v>
      </c>
      <c r="U14" s="25">
        <v>1</v>
      </c>
      <c r="V14" s="25">
        <v>1</v>
      </c>
      <c r="W14" s="25">
        <v>1</v>
      </c>
      <c r="X14" s="25">
        <v>1</v>
      </c>
      <c r="Y14" s="25">
        <v>1</v>
      </c>
      <c r="Z14" s="25">
        <v>0</v>
      </c>
      <c r="AA14" s="25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1</v>
      </c>
      <c r="AG14" s="25">
        <v>1</v>
      </c>
      <c r="AH14" s="25">
        <v>1</v>
      </c>
      <c r="AI14" s="25">
        <v>1</v>
      </c>
      <c r="AJ14" s="25">
        <v>1</v>
      </c>
      <c r="AK14" s="25">
        <v>1</v>
      </c>
      <c r="AL14" s="25">
        <v>1</v>
      </c>
      <c r="AM14" s="25">
        <v>1</v>
      </c>
      <c r="AN14" s="25">
        <v>1</v>
      </c>
      <c r="AO14" s="25">
        <v>1</v>
      </c>
      <c r="AP14" s="25">
        <v>1</v>
      </c>
      <c r="AQ14" s="25">
        <v>1</v>
      </c>
      <c r="AR14" s="25">
        <v>1</v>
      </c>
      <c r="AS14" s="25"/>
      <c r="AT14" s="25"/>
      <c r="AU14" s="25"/>
      <c r="AV14" s="25"/>
      <c r="AW14" s="25"/>
      <c r="AX14" s="25">
        <f t="shared" si="0"/>
        <v>34</v>
      </c>
    </row>
    <row r="15" spans="1:51">
      <c r="B15" s="59" t="s">
        <v>37</v>
      </c>
      <c r="C15" s="59"/>
      <c r="D15" s="59"/>
      <c r="E15" s="25">
        <v>1</v>
      </c>
      <c r="F15" s="25">
        <v>1</v>
      </c>
      <c r="G15" s="25">
        <v>1</v>
      </c>
      <c r="H15" s="25">
        <v>1</v>
      </c>
      <c r="I15" s="25">
        <v>1</v>
      </c>
      <c r="J15" s="25">
        <v>1</v>
      </c>
      <c r="K15" s="25">
        <v>1</v>
      </c>
      <c r="L15" s="25">
        <v>1</v>
      </c>
      <c r="M15" s="25">
        <v>1</v>
      </c>
      <c r="N15" s="25">
        <v>1</v>
      </c>
      <c r="O15" s="25">
        <v>1</v>
      </c>
      <c r="P15" s="25">
        <v>1</v>
      </c>
      <c r="Q15" s="25">
        <v>1</v>
      </c>
      <c r="R15" s="25">
        <v>1</v>
      </c>
      <c r="S15" s="25">
        <v>1</v>
      </c>
      <c r="T15" s="25">
        <v>1</v>
      </c>
      <c r="U15" s="25">
        <v>1</v>
      </c>
      <c r="V15" s="25">
        <v>1</v>
      </c>
      <c r="W15" s="25">
        <v>1</v>
      </c>
      <c r="X15" s="25">
        <v>1</v>
      </c>
      <c r="Y15" s="25">
        <v>1</v>
      </c>
      <c r="Z15" s="25">
        <v>0</v>
      </c>
      <c r="AA15" s="25">
        <v>0</v>
      </c>
      <c r="AB15" s="25">
        <v>0</v>
      </c>
      <c r="AC15" s="25">
        <v>0</v>
      </c>
      <c r="AD15" s="25">
        <v>0</v>
      </c>
      <c r="AE15" s="25">
        <v>0</v>
      </c>
      <c r="AF15" s="25">
        <v>1</v>
      </c>
      <c r="AG15" s="25">
        <v>1</v>
      </c>
      <c r="AH15" s="25">
        <v>1</v>
      </c>
      <c r="AI15" s="25">
        <v>1</v>
      </c>
      <c r="AJ15" s="25">
        <v>1</v>
      </c>
      <c r="AK15" s="25">
        <v>1</v>
      </c>
      <c r="AL15" s="25">
        <v>1</v>
      </c>
      <c r="AM15" s="25">
        <v>1</v>
      </c>
      <c r="AN15" s="25">
        <v>1</v>
      </c>
      <c r="AO15" s="25">
        <v>1</v>
      </c>
      <c r="AP15" s="25">
        <v>1</v>
      </c>
      <c r="AQ15" s="25">
        <v>1</v>
      </c>
      <c r="AR15" s="25">
        <v>1</v>
      </c>
      <c r="AS15" s="25"/>
      <c r="AT15" s="25"/>
      <c r="AU15" s="25"/>
      <c r="AV15" s="25"/>
      <c r="AW15" s="25"/>
      <c r="AX15" s="25">
        <f t="shared" si="0"/>
        <v>34</v>
      </c>
    </row>
    <row r="16" spans="1:51">
      <c r="B16" s="59" t="s">
        <v>35</v>
      </c>
      <c r="C16" s="59"/>
      <c r="D16" s="59"/>
      <c r="E16" s="25">
        <v>1</v>
      </c>
      <c r="F16" s="25">
        <v>1</v>
      </c>
      <c r="G16" s="25">
        <v>1</v>
      </c>
      <c r="H16" s="25">
        <v>1</v>
      </c>
      <c r="I16" s="25">
        <v>1</v>
      </c>
      <c r="J16" s="25">
        <v>1</v>
      </c>
      <c r="K16" s="25">
        <v>1</v>
      </c>
      <c r="L16" s="25">
        <v>1</v>
      </c>
      <c r="M16" s="25">
        <v>1</v>
      </c>
      <c r="N16" s="25">
        <v>1</v>
      </c>
      <c r="O16" s="25">
        <v>1</v>
      </c>
      <c r="P16" s="25">
        <v>1</v>
      </c>
      <c r="Q16" s="25">
        <v>1</v>
      </c>
      <c r="R16" s="25">
        <v>1</v>
      </c>
      <c r="S16" s="25">
        <v>1</v>
      </c>
      <c r="T16" s="25">
        <v>1</v>
      </c>
      <c r="U16" s="25">
        <v>1</v>
      </c>
      <c r="V16" s="25">
        <v>1</v>
      </c>
      <c r="W16" s="25">
        <v>1</v>
      </c>
      <c r="X16" s="25">
        <v>1</v>
      </c>
      <c r="Y16" s="25">
        <v>1</v>
      </c>
      <c r="Z16" s="25">
        <v>0</v>
      </c>
      <c r="AA16" s="25">
        <v>0</v>
      </c>
      <c r="AB16" s="25">
        <v>0</v>
      </c>
      <c r="AC16" s="25">
        <v>0</v>
      </c>
      <c r="AD16" s="25">
        <v>0</v>
      </c>
      <c r="AE16" s="25">
        <v>0</v>
      </c>
      <c r="AF16" s="25">
        <v>1</v>
      </c>
      <c r="AG16" s="25">
        <v>1</v>
      </c>
      <c r="AH16" s="25">
        <v>1</v>
      </c>
      <c r="AI16" s="25">
        <v>1</v>
      </c>
      <c r="AJ16" s="25">
        <v>1</v>
      </c>
      <c r="AK16" s="25">
        <v>1</v>
      </c>
      <c r="AL16" s="25">
        <v>1</v>
      </c>
      <c r="AM16" s="25">
        <v>1</v>
      </c>
      <c r="AN16" s="25">
        <v>1</v>
      </c>
      <c r="AO16" s="25">
        <v>1</v>
      </c>
      <c r="AP16" s="25">
        <v>1</v>
      </c>
      <c r="AQ16" s="25">
        <v>1</v>
      </c>
      <c r="AR16" s="25">
        <v>1</v>
      </c>
      <c r="AS16" s="25"/>
      <c r="AT16" s="25"/>
      <c r="AU16" s="25"/>
      <c r="AV16" s="25"/>
      <c r="AW16" s="25"/>
      <c r="AX16" s="25">
        <f t="shared" si="0"/>
        <v>34</v>
      </c>
    </row>
    <row r="17" spans="1:50">
      <c r="B17" s="59" t="s">
        <v>36</v>
      </c>
      <c r="C17" s="59"/>
      <c r="D17" s="59"/>
      <c r="E17" s="25">
        <v>1</v>
      </c>
      <c r="F17" s="25">
        <v>1</v>
      </c>
      <c r="G17" s="25">
        <v>1</v>
      </c>
      <c r="H17" s="25">
        <v>1</v>
      </c>
      <c r="I17" s="25">
        <v>1</v>
      </c>
      <c r="J17" s="25">
        <v>1</v>
      </c>
      <c r="K17" s="25">
        <v>1</v>
      </c>
      <c r="L17" s="25">
        <v>1</v>
      </c>
      <c r="M17" s="25">
        <v>1</v>
      </c>
      <c r="N17" s="25">
        <v>1</v>
      </c>
      <c r="O17" s="25">
        <v>1</v>
      </c>
      <c r="P17" s="25">
        <v>1</v>
      </c>
      <c r="Q17" s="25">
        <v>1</v>
      </c>
      <c r="R17" s="25">
        <v>1</v>
      </c>
      <c r="S17" s="25">
        <v>1</v>
      </c>
      <c r="T17" s="25">
        <v>1</v>
      </c>
      <c r="U17" s="25">
        <v>1</v>
      </c>
      <c r="V17" s="25">
        <v>1</v>
      </c>
      <c r="W17" s="25">
        <v>1</v>
      </c>
      <c r="X17" s="25">
        <v>1</v>
      </c>
      <c r="Y17" s="25">
        <v>1</v>
      </c>
      <c r="Z17" s="25">
        <v>0</v>
      </c>
      <c r="AA17" s="25">
        <v>0</v>
      </c>
      <c r="AB17" s="25">
        <v>0</v>
      </c>
      <c r="AC17" s="25">
        <v>0</v>
      </c>
      <c r="AD17" s="25">
        <v>0</v>
      </c>
      <c r="AE17" s="25">
        <v>0</v>
      </c>
      <c r="AF17" s="25">
        <v>1</v>
      </c>
      <c r="AG17" s="25">
        <v>1</v>
      </c>
      <c r="AH17" s="25">
        <v>1</v>
      </c>
      <c r="AI17" s="25">
        <v>1</v>
      </c>
      <c r="AJ17" s="25">
        <v>1</v>
      </c>
      <c r="AK17" s="25">
        <v>1</v>
      </c>
      <c r="AL17" s="25">
        <v>1</v>
      </c>
      <c r="AM17" s="25">
        <v>1</v>
      </c>
      <c r="AN17" s="25">
        <v>1</v>
      </c>
      <c r="AO17" s="25">
        <v>1</v>
      </c>
      <c r="AP17" s="25">
        <v>1</v>
      </c>
      <c r="AQ17" s="25">
        <v>1</v>
      </c>
      <c r="AR17" s="25">
        <v>1</v>
      </c>
      <c r="AS17" s="25"/>
      <c r="AT17" s="25"/>
      <c r="AU17" s="25"/>
      <c r="AV17" s="25"/>
      <c r="AW17" s="25"/>
      <c r="AX17" s="25">
        <f t="shared" si="0"/>
        <v>34</v>
      </c>
    </row>
    <row r="18" spans="1:50">
      <c r="B18" s="67" t="s">
        <v>50</v>
      </c>
      <c r="C18" s="67"/>
      <c r="D18" s="67"/>
      <c r="E18" s="45">
        <f t="shared" ref="E18:AW18" si="1">SUM(E12:E17)</f>
        <v>6</v>
      </c>
      <c r="F18" s="45">
        <f t="shared" si="1"/>
        <v>6</v>
      </c>
      <c r="G18" s="45">
        <f t="shared" si="1"/>
        <v>6</v>
      </c>
      <c r="H18" s="45">
        <f t="shared" si="1"/>
        <v>6</v>
      </c>
      <c r="I18" s="45">
        <f t="shared" si="1"/>
        <v>6</v>
      </c>
      <c r="J18" s="45">
        <f t="shared" si="1"/>
        <v>6</v>
      </c>
      <c r="K18" s="45">
        <f t="shared" si="1"/>
        <v>6</v>
      </c>
      <c r="L18" s="45">
        <f t="shared" si="1"/>
        <v>6</v>
      </c>
      <c r="M18" s="45">
        <f t="shared" si="1"/>
        <v>6</v>
      </c>
      <c r="N18" s="45">
        <f t="shared" si="1"/>
        <v>6</v>
      </c>
      <c r="O18" s="45">
        <f t="shared" si="1"/>
        <v>6</v>
      </c>
      <c r="P18" s="45">
        <f t="shared" si="1"/>
        <v>6</v>
      </c>
      <c r="Q18" s="45">
        <f t="shared" si="1"/>
        <v>6</v>
      </c>
      <c r="R18" s="45">
        <f t="shared" si="1"/>
        <v>6</v>
      </c>
      <c r="S18" s="45">
        <f t="shared" si="1"/>
        <v>6</v>
      </c>
      <c r="T18" s="45">
        <f t="shared" si="1"/>
        <v>6</v>
      </c>
      <c r="U18" s="45">
        <f t="shared" si="1"/>
        <v>6</v>
      </c>
      <c r="V18" s="45">
        <f t="shared" si="1"/>
        <v>6</v>
      </c>
      <c r="W18" s="45">
        <f t="shared" si="1"/>
        <v>6</v>
      </c>
      <c r="X18" s="45">
        <f t="shared" si="1"/>
        <v>6</v>
      </c>
      <c r="Y18" s="45">
        <f t="shared" si="1"/>
        <v>6</v>
      </c>
      <c r="Z18" s="45">
        <f t="shared" si="1"/>
        <v>0</v>
      </c>
      <c r="AA18" s="45">
        <f t="shared" si="1"/>
        <v>0</v>
      </c>
      <c r="AB18" s="45">
        <f t="shared" si="1"/>
        <v>0</v>
      </c>
      <c r="AC18" s="45">
        <f t="shared" si="1"/>
        <v>0</v>
      </c>
      <c r="AD18" s="45">
        <f t="shared" si="1"/>
        <v>0</v>
      </c>
      <c r="AE18" s="45">
        <f t="shared" si="1"/>
        <v>0</v>
      </c>
      <c r="AF18" s="45">
        <f t="shared" si="1"/>
        <v>6</v>
      </c>
      <c r="AG18" s="45">
        <f t="shared" si="1"/>
        <v>6</v>
      </c>
      <c r="AH18" s="45">
        <f t="shared" si="1"/>
        <v>6</v>
      </c>
      <c r="AI18" s="45">
        <f t="shared" si="1"/>
        <v>6</v>
      </c>
      <c r="AJ18" s="45">
        <f t="shared" si="1"/>
        <v>6</v>
      </c>
      <c r="AK18" s="45">
        <f t="shared" si="1"/>
        <v>6</v>
      </c>
      <c r="AL18" s="45">
        <f t="shared" si="1"/>
        <v>6</v>
      </c>
      <c r="AM18" s="45">
        <f t="shared" si="1"/>
        <v>6</v>
      </c>
      <c r="AN18" s="45">
        <f t="shared" si="1"/>
        <v>6</v>
      </c>
      <c r="AO18" s="45">
        <f t="shared" si="1"/>
        <v>6</v>
      </c>
      <c r="AP18" s="45">
        <f t="shared" si="1"/>
        <v>6</v>
      </c>
      <c r="AQ18" s="45">
        <f t="shared" si="1"/>
        <v>6</v>
      </c>
      <c r="AR18" s="45">
        <f t="shared" si="1"/>
        <v>6</v>
      </c>
      <c r="AS18" s="45">
        <f t="shared" si="1"/>
        <v>0</v>
      </c>
      <c r="AT18" s="45">
        <f t="shared" si="1"/>
        <v>0</v>
      </c>
      <c r="AU18" s="45">
        <f t="shared" si="1"/>
        <v>0</v>
      </c>
      <c r="AV18" s="45">
        <f t="shared" si="1"/>
        <v>0</v>
      </c>
      <c r="AW18" s="45">
        <f t="shared" si="1"/>
        <v>0</v>
      </c>
      <c r="AX18" s="63"/>
    </row>
    <row r="19" spans="1:50">
      <c r="B19" s="67"/>
      <c r="C19" s="67"/>
      <c r="D19" s="67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64"/>
    </row>
    <row r="20" spans="1:50">
      <c r="A20" s="1"/>
      <c r="B20" s="1"/>
      <c r="C20" s="1"/>
    </row>
    <row r="21" spans="1:50">
      <c r="A21" s="1"/>
      <c r="B21" s="1"/>
      <c r="C21" s="1"/>
    </row>
    <row r="23" spans="1:50">
      <c r="R23" s="47" t="s">
        <v>0</v>
      </c>
      <c r="S23" s="47"/>
      <c r="T23" s="47" t="s">
        <v>3</v>
      </c>
      <c r="U23" s="47"/>
      <c r="V23" s="47"/>
      <c r="W23" s="47" t="s">
        <v>4</v>
      </c>
      <c r="X23" s="47"/>
      <c r="Y23" s="47"/>
      <c r="Z23" s="47" t="s">
        <v>1</v>
      </c>
      <c r="AA23" s="47"/>
      <c r="AB23" s="47"/>
      <c r="AC23" s="47" t="s">
        <v>2</v>
      </c>
      <c r="AD23" s="47"/>
      <c r="AE23" s="47"/>
    </row>
    <row r="24" spans="1:50">
      <c r="R24" s="35" t="s">
        <v>78</v>
      </c>
      <c r="S24" s="35"/>
      <c r="T24" s="43">
        <f t="shared" ref="T24:T29" si="2">AX12</f>
        <v>34</v>
      </c>
      <c r="U24" s="43"/>
      <c r="V24" s="43"/>
      <c r="W24" s="43">
        <f>T24</f>
        <v>34</v>
      </c>
      <c r="X24" s="43"/>
      <c r="Y24" s="43"/>
      <c r="Z24" s="62">
        <f>(T24/T30)</f>
        <v>0.16666666666666666</v>
      </c>
      <c r="AA24" s="62"/>
      <c r="AB24" s="62"/>
      <c r="AC24" s="61">
        <f>(W24/T30)</f>
        <v>0.16666666666666666</v>
      </c>
      <c r="AD24" s="61"/>
      <c r="AE24" s="61"/>
    </row>
    <row r="25" spans="1:50">
      <c r="R25" s="35" t="s">
        <v>79</v>
      </c>
      <c r="S25" s="35"/>
      <c r="T25" s="43">
        <f t="shared" si="2"/>
        <v>34</v>
      </c>
      <c r="U25" s="43"/>
      <c r="V25" s="43"/>
      <c r="W25" s="43">
        <f>SUM(W24,T25)</f>
        <v>68</v>
      </c>
      <c r="X25" s="43"/>
      <c r="Y25" s="43"/>
      <c r="Z25" s="62">
        <f>(T25/T30)</f>
        <v>0.16666666666666666</v>
      </c>
      <c r="AA25" s="62"/>
      <c r="AB25" s="62"/>
      <c r="AC25" s="61">
        <f>(W25/T30)</f>
        <v>0.33333333333333331</v>
      </c>
      <c r="AD25" s="61"/>
      <c r="AE25" s="61"/>
    </row>
    <row r="26" spans="1:50">
      <c r="R26" s="35" t="s">
        <v>80</v>
      </c>
      <c r="S26" s="35"/>
      <c r="T26" s="43">
        <f t="shared" si="2"/>
        <v>34</v>
      </c>
      <c r="U26" s="43"/>
      <c r="V26" s="43"/>
      <c r="W26" s="43">
        <f>SUM(W25,T26)</f>
        <v>102</v>
      </c>
      <c r="X26" s="43"/>
      <c r="Y26" s="43"/>
      <c r="Z26" s="62">
        <f>(T26/T30)</f>
        <v>0.16666666666666666</v>
      </c>
      <c r="AA26" s="62"/>
      <c r="AB26" s="62"/>
      <c r="AC26" s="61">
        <f>(W26/T30)</f>
        <v>0.5</v>
      </c>
      <c r="AD26" s="61"/>
      <c r="AE26" s="61"/>
    </row>
    <row r="27" spans="1:50">
      <c r="R27" s="35" t="s">
        <v>81</v>
      </c>
      <c r="S27" s="35"/>
      <c r="T27" s="43">
        <f t="shared" si="2"/>
        <v>34</v>
      </c>
      <c r="U27" s="43"/>
      <c r="V27" s="43"/>
      <c r="W27" s="43">
        <f>SUM(W26,T27)</f>
        <v>136</v>
      </c>
      <c r="X27" s="43"/>
      <c r="Y27" s="43"/>
      <c r="Z27" s="62">
        <f>(T27/T30)</f>
        <v>0.16666666666666666</v>
      </c>
      <c r="AA27" s="62"/>
      <c r="AB27" s="62"/>
      <c r="AC27" s="61">
        <f>(W27/T30)</f>
        <v>0.66666666666666663</v>
      </c>
      <c r="AD27" s="61"/>
      <c r="AE27" s="61"/>
    </row>
    <row r="28" spans="1:50">
      <c r="R28" s="35" t="s">
        <v>82</v>
      </c>
      <c r="S28" s="35"/>
      <c r="T28" s="43">
        <f t="shared" si="2"/>
        <v>34</v>
      </c>
      <c r="U28" s="43"/>
      <c r="V28" s="43"/>
      <c r="W28" s="43">
        <f>SUM(W27,T28)</f>
        <v>170</v>
      </c>
      <c r="X28" s="43"/>
      <c r="Y28" s="43"/>
      <c r="Z28" s="62">
        <f>(T28/T30)</f>
        <v>0.16666666666666666</v>
      </c>
      <c r="AA28" s="62"/>
      <c r="AB28" s="62"/>
      <c r="AC28" s="61">
        <f>(W28/T30)</f>
        <v>0.83333333333333337</v>
      </c>
      <c r="AD28" s="61"/>
      <c r="AE28" s="61"/>
    </row>
    <row r="29" spans="1:50">
      <c r="R29" s="35" t="s">
        <v>83</v>
      </c>
      <c r="S29" s="35"/>
      <c r="T29" s="43">
        <f t="shared" si="2"/>
        <v>34</v>
      </c>
      <c r="U29" s="43"/>
      <c r="V29" s="43"/>
      <c r="W29" s="43">
        <f>SUM(W28,T29)</f>
        <v>204</v>
      </c>
      <c r="X29" s="43"/>
      <c r="Y29" s="43"/>
      <c r="Z29" s="62">
        <f>(T29/T30)</f>
        <v>0.16666666666666666</v>
      </c>
      <c r="AA29" s="62"/>
      <c r="AB29" s="62"/>
      <c r="AC29" s="43">
        <f>(W29/T30)</f>
        <v>1</v>
      </c>
      <c r="AD29" s="43"/>
      <c r="AE29" s="43"/>
    </row>
    <row r="30" spans="1:50">
      <c r="R30" s="1"/>
      <c r="S30" s="1"/>
      <c r="T30" s="43">
        <f>SUM(T24:V29)</f>
        <v>204</v>
      </c>
      <c r="U30" s="43"/>
      <c r="V30" s="43"/>
      <c r="W30" s="73"/>
      <c r="X30" s="74"/>
      <c r="Y30" s="75"/>
      <c r="Z30" s="43">
        <f>SUM(Z24:AB29)</f>
        <v>0.99999999999999989</v>
      </c>
      <c r="AA30" s="43"/>
      <c r="AB30" s="43"/>
      <c r="AC30" s="70"/>
      <c r="AD30" s="71"/>
      <c r="AE30" s="71"/>
    </row>
    <row r="31" spans="1:50">
      <c r="R31" s="1"/>
      <c r="S31" s="1"/>
      <c r="T31" s="43"/>
      <c r="U31" s="43"/>
      <c r="V31" s="43"/>
      <c r="W31" s="76"/>
      <c r="X31" s="77"/>
      <c r="Y31" s="78"/>
      <c r="Z31" s="43"/>
      <c r="AA31" s="43"/>
      <c r="AB31" s="43"/>
      <c r="AC31" s="72"/>
      <c r="AD31" s="32"/>
      <c r="AE31" s="32"/>
    </row>
    <row r="32" spans="1:50">
      <c r="R32" s="1"/>
      <c r="S32" s="1"/>
      <c r="T32" s="43"/>
      <c r="U32" s="43"/>
      <c r="V32" s="43"/>
      <c r="W32" s="76"/>
      <c r="X32" s="77"/>
      <c r="Y32" s="78"/>
      <c r="Z32" s="43"/>
      <c r="AA32" s="43"/>
      <c r="AB32" s="43"/>
      <c r="AC32" s="72"/>
      <c r="AD32" s="32"/>
      <c r="AE32" s="32"/>
    </row>
    <row r="33" spans="2:31">
      <c r="B33" s="1"/>
      <c r="C33" s="1"/>
      <c r="D33" s="5"/>
      <c r="E33" s="5"/>
      <c r="F33" s="1"/>
      <c r="G33" s="6"/>
    </row>
    <row r="34" spans="2:31">
      <c r="B34" s="1"/>
      <c r="C34" s="1"/>
      <c r="D34" s="5"/>
      <c r="E34" s="5"/>
      <c r="F34" s="1"/>
      <c r="G34" s="6"/>
    </row>
    <row r="35" spans="2:31">
      <c r="B35" s="1"/>
      <c r="C35" s="1"/>
      <c r="D35" s="8"/>
      <c r="E35" s="3"/>
      <c r="F35" s="1"/>
      <c r="G35" s="6"/>
      <c r="R35" s="47" t="s">
        <v>160</v>
      </c>
      <c r="S35" s="47"/>
      <c r="T35" s="47"/>
      <c r="U35" s="47"/>
      <c r="V35" s="47" t="s">
        <v>161</v>
      </c>
      <c r="W35" s="47"/>
      <c r="X35" s="47"/>
      <c r="Y35" s="47"/>
      <c r="Z35" s="47"/>
      <c r="AA35" s="47" t="s">
        <v>162</v>
      </c>
      <c r="AB35" s="47"/>
      <c r="AC35" s="47"/>
      <c r="AD35" s="47"/>
      <c r="AE35" s="47"/>
    </row>
    <row r="36" spans="2:31">
      <c r="B36" s="1"/>
      <c r="C36" s="1"/>
      <c r="D36" s="3"/>
      <c r="E36" s="3"/>
      <c r="F36" s="1"/>
      <c r="G36" s="7"/>
      <c r="R36" s="43">
        <f>AVERAGE(T24:V29)</f>
        <v>34</v>
      </c>
      <c r="S36" s="43"/>
      <c r="T36" s="43"/>
      <c r="U36" s="43"/>
      <c r="V36" s="43">
        <f>MEDIAN(T24:V29)</f>
        <v>34</v>
      </c>
      <c r="W36" s="45"/>
      <c r="X36" s="45"/>
      <c r="Y36" s="45"/>
      <c r="Z36" s="45"/>
      <c r="AA36" s="45">
        <f>MODE(T24:V29)</f>
        <v>34</v>
      </c>
      <c r="AB36" s="45"/>
      <c r="AC36" s="45"/>
      <c r="AD36" s="45"/>
      <c r="AE36" s="45"/>
    </row>
    <row r="38" spans="2:31">
      <c r="F38" s="1"/>
      <c r="G38" s="1"/>
    </row>
  </sheetData>
  <autoFilter ref="T23:AE29" xr:uid="{00000000-0009-0000-0000-000004000000}">
    <filterColumn colId="0" showButton="0"/>
    <filterColumn colId="1" showButton="0"/>
    <filterColumn colId="3" showButton="0"/>
    <filterColumn colId="4" showButton="0"/>
    <filterColumn colId="6" showButton="0"/>
    <filterColumn colId="7" showButton="0"/>
    <filterColumn colId="9" showButton="0"/>
    <filterColumn colId="10" showButton="0"/>
  </autoFilter>
  <mergeCells count="151">
    <mergeCell ref="Z28:AB28"/>
    <mergeCell ref="AC30:AE32"/>
    <mergeCell ref="W30:Y32"/>
    <mergeCell ref="T30:V32"/>
    <mergeCell ref="Z30:AB32"/>
    <mergeCell ref="W28:Y28"/>
    <mergeCell ref="W29:Y29"/>
    <mergeCell ref="Z29:AB29"/>
    <mergeCell ref="T28:V28"/>
    <mergeCell ref="T29:V29"/>
    <mergeCell ref="X8:X11"/>
    <mergeCell ref="B6:AX6"/>
    <mergeCell ref="AX18:AX19"/>
    <mergeCell ref="AQ18:AQ19"/>
    <mergeCell ref="AR18:AR19"/>
    <mergeCell ref="AS18:AS19"/>
    <mergeCell ref="AT18:AT19"/>
    <mergeCell ref="AU18:AU19"/>
    <mergeCell ref="AL18:AL19"/>
    <mergeCell ref="AM18:AM19"/>
    <mergeCell ref="AN18:AN19"/>
    <mergeCell ref="B7:D11"/>
    <mergeCell ref="B18:D19"/>
    <mergeCell ref="L18:L19"/>
    <mergeCell ref="M18:M19"/>
    <mergeCell ref="N18:N19"/>
    <mergeCell ref="O18:O19"/>
    <mergeCell ref="S8:S11"/>
    <mergeCell ref="T8:T11"/>
    <mergeCell ref="AE8:AE11"/>
    <mergeCell ref="AF8:AF11"/>
    <mergeCell ref="P18:P19"/>
    <mergeCell ref="Q18:Q19"/>
    <mergeCell ref="AX7:AX11"/>
    <mergeCell ref="AO18:AO19"/>
    <mergeCell ref="AP18:AP19"/>
    <mergeCell ref="AG18:AG19"/>
    <mergeCell ref="AH18:AH19"/>
    <mergeCell ref="AI18:AI19"/>
    <mergeCell ref="AJ18:AJ19"/>
    <mergeCell ref="T26:V26"/>
    <mergeCell ref="T27:V27"/>
    <mergeCell ref="T23:V23"/>
    <mergeCell ref="Z23:AB23"/>
    <mergeCell ref="Z24:AB24"/>
    <mergeCell ref="Z25:AB25"/>
    <mergeCell ref="Z26:AB26"/>
    <mergeCell ref="Z27:AB27"/>
    <mergeCell ref="T18:T19"/>
    <mergeCell ref="U18:U19"/>
    <mergeCell ref="V18:V19"/>
    <mergeCell ref="R29:S29"/>
    <mergeCell ref="AV18:AV19"/>
    <mergeCell ref="AW18:AW19"/>
    <mergeCell ref="X18:X19"/>
    <mergeCell ref="Y18:Y19"/>
    <mergeCell ref="Z18:Z19"/>
    <mergeCell ref="AA18:AA19"/>
    <mergeCell ref="R25:S25"/>
    <mergeCell ref="R26:S26"/>
    <mergeCell ref="R23:S23"/>
    <mergeCell ref="R24:S24"/>
    <mergeCell ref="AC28:AE28"/>
    <mergeCell ref="AC29:AE29"/>
    <mergeCell ref="AC23:AE23"/>
    <mergeCell ref="AC24:AE24"/>
    <mergeCell ref="AC25:AE25"/>
    <mergeCell ref="AC26:AE26"/>
    <mergeCell ref="AC27:AE27"/>
    <mergeCell ref="W23:Y23"/>
    <mergeCell ref="W24:Y24"/>
    <mergeCell ref="W25:Y25"/>
    <mergeCell ref="W26:Y26"/>
    <mergeCell ref="W27:Y27"/>
    <mergeCell ref="T24:V24"/>
    <mergeCell ref="E18:E19"/>
    <mergeCell ref="F18:F19"/>
    <mergeCell ref="G18:G19"/>
    <mergeCell ref="H18:H19"/>
    <mergeCell ref="I18:I19"/>
    <mergeCell ref="J18:J19"/>
    <mergeCell ref="U8:U11"/>
    <mergeCell ref="V8:V11"/>
    <mergeCell ref="W8:W11"/>
    <mergeCell ref="E8:E11"/>
    <mergeCell ref="F8:F11"/>
    <mergeCell ref="G8:G11"/>
    <mergeCell ref="H8:H11"/>
    <mergeCell ref="I8:I11"/>
    <mergeCell ref="R18:R19"/>
    <mergeCell ref="S18:S19"/>
    <mergeCell ref="J8:J11"/>
    <mergeCell ref="K8:K11"/>
    <mergeCell ref="K18:K19"/>
    <mergeCell ref="AW8:AW11"/>
    <mergeCell ref="AO8:AO11"/>
    <mergeCell ref="AP8:AP11"/>
    <mergeCell ref="AQ8:AQ11"/>
    <mergeCell ref="AR8:AR11"/>
    <mergeCell ref="Y8:Y11"/>
    <mergeCell ref="Z8:Z11"/>
    <mergeCell ref="AA8:AA11"/>
    <mergeCell ref="AB8:AB11"/>
    <mergeCell ref="AL7:AW7"/>
    <mergeCell ref="B16:D16"/>
    <mergeCell ref="B17:D17"/>
    <mergeCell ref="B15:D15"/>
    <mergeCell ref="L7:Y7"/>
    <mergeCell ref="Z7:AK7"/>
    <mergeCell ref="E7:K7"/>
    <mergeCell ref="B14:D14"/>
    <mergeCell ref="B12:D12"/>
    <mergeCell ref="B13:D13"/>
    <mergeCell ref="L8:L11"/>
    <mergeCell ref="M8:M11"/>
    <mergeCell ref="N8:N11"/>
    <mergeCell ref="O8:O11"/>
    <mergeCell ref="P8:P11"/>
    <mergeCell ref="Q8:Q11"/>
    <mergeCell ref="AS8:AS11"/>
    <mergeCell ref="AT8:AT11"/>
    <mergeCell ref="AU8:AU11"/>
    <mergeCell ref="AL8:AL11"/>
    <mergeCell ref="AM8:AM11"/>
    <mergeCell ref="AN8:AN11"/>
    <mergeCell ref="R8:R11"/>
    <mergeCell ref="AV8:AV11"/>
    <mergeCell ref="A3:AY4"/>
    <mergeCell ref="V35:Z35"/>
    <mergeCell ref="R35:U35"/>
    <mergeCell ref="R36:U36"/>
    <mergeCell ref="AA35:AE35"/>
    <mergeCell ref="V36:Z36"/>
    <mergeCell ref="AA36:AE36"/>
    <mergeCell ref="R27:S27"/>
    <mergeCell ref="R28:S28"/>
    <mergeCell ref="AK18:AK19"/>
    <mergeCell ref="AB18:AB19"/>
    <mergeCell ref="AC18:AC19"/>
    <mergeCell ref="AD18:AD19"/>
    <mergeCell ref="AE18:AE19"/>
    <mergeCell ref="AF18:AF19"/>
    <mergeCell ref="W18:W19"/>
    <mergeCell ref="T25:V25"/>
    <mergeCell ref="AG8:AG11"/>
    <mergeCell ref="AH8:AH11"/>
    <mergeCell ref="AI8:AI11"/>
    <mergeCell ref="AJ8:AJ11"/>
    <mergeCell ref="AK8:AK11"/>
    <mergeCell ref="AC8:AC11"/>
    <mergeCell ref="AD8:AD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enu" altText="REGRESAR ">
                <anchor moveWithCells="1" sizeWithCells="1">
                  <from>
                    <xdr:col>13</xdr:col>
                    <xdr:colOff>19050</xdr:colOff>
                    <xdr:row>28</xdr:row>
                    <xdr:rowOff>28575</xdr:rowOff>
                  </from>
                  <to>
                    <xdr:col>15</xdr:col>
                    <xdr:colOff>133350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sulAsis">
                <anchor moveWithCells="1" sizeWithCells="1">
                  <from>
                    <xdr:col>32</xdr:col>
                    <xdr:colOff>485775</xdr:colOff>
                    <xdr:row>27</xdr:row>
                    <xdr:rowOff>76200</xdr:rowOff>
                  </from>
                  <to>
                    <xdr:col>34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"/>
  <sheetViews>
    <sheetView showGridLines="0" showRowColHeaders="0" zoomScale="80" zoomScaleNormal="80" workbookViewId="0"/>
  </sheetViews>
  <sheetFormatPr baseColWidth="10"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SISTENCIA">
                <anchor moveWithCells="1" sizeWithCells="1">
                  <from>
                    <xdr:col>8</xdr:col>
                    <xdr:colOff>581025</xdr:colOff>
                    <xdr:row>23</xdr:row>
                    <xdr:rowOff>85725</xdr:rowOff>
                  </from>
                  <to>
                    <xdr:col>10</xdr:col>
                    <xdr:colOff>695325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VA">
                <anchor moveWithCells="1" sizeWithCells="1">
                  <from>
                    <xdr:col>11</xdr:col>
                    <xdr:colOff>228600</xdr:colOff>
                    <xdr:row>23</xdr:row>
                    <xdr:rowOff>85725</xdr:rowOff>
                  </from>
                  <to>
                    <xdr:col>13</xdr:col>
                    <xdr:colOff>342900</xdr:colOff>
                    <xdr:row>26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9B77C-3AC6-481F-A818-C9E4C6EA129B}">
  <sheetPr codeName="Hoja10"/>
  <dimension ref="A1"/>
  <sheetViews>
    <sheetView showGridLines="0" showRowColHeaders="0" workbookViewId="0"/>
  </sheetViews>
  <sheetFormatPr baseColWidth="10"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ResulAsis">
                <anchor moveWithCells="1" sizeWithCells="1">
                  <from>
                    <xdr:col>1</xdr:col>
                    <xdr:colOff>161925</xdr:colOff>
                    <xdr:row>8</xdr:row>
                    <xdr:rowOff>76200</xdr:rowOff>
                  </from>
                  <to>
                    <xdr:col>3</xdr:col>
                    <xdr:colOff>19050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B3:AT53"/>
  <sheetViews>
    <sheetView showGridLines="0" showRowColHeaders="0" zoomScale="46" zoomScaleNormal="46" workbookViewId="0"/>
  </sheetViews>
  <sheetFormatPr baseColWidth="10" defaultRowHeight="15"/>
  <sheetData>
    <row r="3" spans="2:46">
      <c r="B3" s="85" t="s">
        <v>84</v>
      </c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</row>
    <row r="4" spans="2:46"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</row>
    <row r="6" spans="2:46">
      <c r="C6" s="90" t="s">
        <v>171</v>
      </c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0"/>
    </row>
    <row r="7" spans="2:46">
      <c r="C7" s="23"/>
      <c r="D7" s="80" t="s">
        <v>173</v>
      </c>
      <c r="E7" s="81"/>
      <c r="F7" s="81"/>
      <c r="G7" s="81"/>
      <c r="H7" s="81"/>
      <c r="I7" s="81"/>
      <c r="J7" s="81"/>
      <c r="K7" s="81"/>
      <c r="L7" s="82"/>
      <c r="M7" s="79" t="s">
        <v>30</v>
      </c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 t="s">
        <v>172</v>
      </c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 t="s">
        <v>31</v>
      </c>
      <c r="AL7" s="79"/>
      <c r="AM7" s="79"/>
      <c r="AN7" s="79"/>
      <c r="AO7" s="79"/>
      <c r="AP7" s="79"/>
      <c r="AQ7" s="79"/>
      <c r="AR7" s="79"/>
      <c r="AS7" s="79"/>
      <c r="AT7" s="9"/>
    </row>
    <row r="8" spans="2:46">
      <c r="C8" s="13" t="s">
        <v>140</v>
      </c>
      <c r="D8" s="47" t="s">
        <v>117</v>
      </c>
      <c r="E8" s="47"/>
      <c r="F8" s="47"/>
      <c r="G8" s="47" t="s">
        <v>116</v>
      </c>
      <c r="H8" s="47"/>
      <c r="I8" s="47"/>
      <c r="J8" s="47" t="s">
        <v>115</v>
      </c>
      <c r="K8" s="47"/>
      <c r="L8" s="47"/>
      <c r="M8" s="47" t="s">
        <v>112</v>
      </c>
      <c r="N8" s="47"/>
      <c r="O8" s="47"/>
      <c r="P8" s="47" t="s">
        <v>113</v>
      </c>
      <c r="Q8" s="47"/>
      <c r="R8" s="47"/>
      <c r="S8" s="47" t="s">
        <v>114</v>
      </c>
      <c r="T8" s="47"/>
      <c r="U8" s="47"/>
      <c r="V8" s="47" t="s">
        <v>111</v>
      </c>
      <c r="W8" s="47"/>
      <c r="X8" s="47"/>
      <c r="Y8" s="47" t="s">
        <v>110</v>
      </c>
      <c r="Z8" s="47"/>
      <c r="AA8" s="47"/>
      <c r="AB8" s="47" t="s">
        <v>109</v>
      </c>
      <c r="AC8" s="47"/>
      <c r="AD8" s="47"/>
      <c r="AE8" s="47" t="s">
        <v>108</v>
      </c>
      <c r="AF8" s="47"/>
      <c r="AG8" s="47"/>
      <c r="AH8" s="47" t="s">
        <v>118</v>
      </c>
      <c r="AI8" s="47"/>
      <c r="AJ8" s="47"/>
      <c r="AK8" s="47" t="s">
        <v>119</v>
      </c>
      <c r="AL8" s="47"/>
      <c r="AM8" s="47"/>
      <c r="AN8" s="47" t="s">
        <v>120</v>
      </c>
      <c r="AO8" s="47"/>
      <c r="AP8" s="47"/>
      <c r="AQ8" s="47" t="s">
        <v>121</v>
      </c>
      <c r="AR8" s="47"/>
      <c r="AS8" s="47"/>
    </row>
    <row r="9" spans="2:46">
      <c r="C9" s="11" t="s">
        <v>141</v>
      </c>
      <c r="D9" s="11" t="s">
        <v>103</v>
      </c>
      <c r="E9" s="11" t="s">
        <v>104</v>
      </c>
      <c r="F9" s="11" t="s">
        <v>105</v>
      </c>
      <c r="G9" s="11" t="s">
        <v>103</v>
      </c>
      <c r="H9" s="11" t="s">
        <v>104</v>
      </c>
      <c r="I9" s="11" t="s">
        <v>105</v>
      </c>
      <c r="J9" s="11" t="s">
        <v>103</v>
      </c>
      <c r="K9" s="11" t="s">
        <v>104</v>
      </c>
      <c r="L9" s="11" t="s">
        <v>105</v>
      </c>
      <c r="M9" s="11" t="s">
        <v>103</v>
      </c>
      <c r="N9" s="11" t="s">
        <v>104</v>
      </c>
      <c r="O9" s="11" t="s">
        <v>105</v>
      </c>
      <c r="P9" s="11" t="s">
        <v>103</v>
      </c>
      <c r="Q9" s="11" t="s">
        <v>104</v>
      </c>
      <c r="R9" s="11" t="s">
        <v>105</v>
      </c>
      <c r="S9" s="11" t="s">
        <v>103</v>
      </c>
      <c r="T9" s="11" t="s">
        <v>104</v>
      </c>
      <c r="U9" s="11" t="s">
        <v>105</v>
      </c>
      <c r="V9" s="11" t="s">
        <v>103</v>
      </c>
      <c r="W9" s="11" t="s">
        <v>104</v>
      </c>
      <c r="X9" s="11" t="s">
        <v>105</v>
      </c>
      <c r="Y9" s="11" t="s">
        <v>103</v>
      </c>
      <c r="Z9" s="11" t="s">
        <v>104</v>
      </c>
      <c r="AA9" s="11" t="s">
        <v>105</v>
      </c>
      <c r="AB9" s="11" t="s">
        <v>103</v>
      </c>
      <c r="AC9" s="11" t="s">
        <v>104</v>
      </c>
      <c r="AD9" s="11" t="s">
        <v>105</v>
      </c>
      <c r="AE9" s="11" t="s">
        <v>103</v>
      </c>
      <c r="AF9" s="11" t="s">
        <v>104</v>
      </c>
      <c r="AG9" s="11" t="s">
        <v>105</v>
      </c>
      <c r="AH9" s="11" t="s">
        <v>103</v>
      </c>
      <c r="AI9" s="11" t="s">
        <v>104</v>
      </c>
      <c r="AJ9" s="11" t="s">
        <v>105</v>
      </c>
      <c r="AK9" s="11" t="s">
        <v>103</v>
      </c>
      <c r="AL9" s="11" t="s">
        <v>104</v>
      </c>
      <c r="AM9" s="11" t="s">
        <v>105</v>
      </c>
      <c r="AN9" s="11" t="s">
        <v>103</v>
      </c>
      <c r="AO9" s="11" t="s">
        <v>104</v>
      </c>
      <c r="AP9" s="11" t="s">
        <v>105</v>
      </c>
      <c r="AQ9" s="11" t="s">
        <v>103</v>
      </c>
      <c r="AR9" s="11" t="s">
        <v>104</v>
      </c>
      <c r="AS9" s="11" t="s">
        <v>105</v>
      </c>
      <c r="AT9" s="1"/>
    </row>
    <row r="10" spans="2:46">
      <c r="C10" s="89" t="s">
        <v>139</v>
      </c>
      <c r="D10" s="93" t="s">
        <v>106</v>
      </c>
      <c r="E10" s="93"/>
      <c r="F10" s="93"/>
      <c r="G10" s="92"/>
      <c r="H10" s="92"/>
      <c r="I10" s="92" t="s">
        <v>107</v>
      </c>
      <c r="J10" s="91" t="s">
        <v>122</v>
      </c>
      <c r="K10" s="91" t="s">
        <v>123</v>
      </c>
      <c r="L10" s="91" t="s">
        <v>124</v>
      </c>
      <c r="M10" s="93" t="s">
        <v>126</v>
      </c>
      <c r="N10" s="93" t="s">
        <v>125</v>
      </c>
      <c r="O10" s="93"/>
      <c r="P10" s="92" t="s">
        <v>127</v>
      </c>
      <c r="Q10" s="92" t="s">
        <v>128</v>
      </c>
      <c r="R10" s="92"/>
      <c r="S10" s="91" t="s">
        <v>129</v>
      </c>
      <c r="T10" s="91" t="s">
        <v>130</v>
      </c>
      <c r="U10" s="91" t="s">
        <v>134</v>
      </c>
      <c r="V10" s="93" t="s">
        <v>131</v>
      </c>
      <c r="W10" s="93" t="s">
        <v>132</v>
      </c>
      <c r="X10" s="93" t="s">
        <v>133</v>
      </c>
      <c r="Y10" s="92" t="s">
        <v>134</v>
      </c>
      <c r="Z10" s="92" t="s">
        <v>134</v>
      </c>
      <c r="AA10" s="92" t="s">
        <v>134</v>
      </c>
      <c r="AB10" s="91" t="s">
        <v>134</v>
      </c>
      <c r="AC10" s="91" t="s">
        <v>134</v>
      </c>
      <c r="AD10" s="91" t="s">
        <v>134</v>
      </c>
      <c r="AE10" s="93" t="s">
        <v>134</v>
      </c>
      <c r="AF10" s="93" t="s">
        <v>134</v>
      </c>
      <c r="AG10" s="93" t="s">
        <v>134</v>
      </c>
      <c r="AH10" s="92" t="s">
        <v>135</v>
      </c>
      <c r="AI10" s="92" t="s">
        <v>136</v>
      </c>
      <c r="AJ10" s="92" t="s">
        <v>134</v>
      </c>
      <c r="AK10" s="91" t="s">
        <v>134</v>
      </c>
      <c r="AL10" s="91" t="s">
        <v>134</v>
      </c>
      <c r="AM10" s="91" t="s">
        <v>134</v>
      </c>
      <c r="AN10" s="93" t="s">
        <v>134</v>
      </c>
      <c r="AO10" s="93" t="s">
        <v>134</v>
      </c>
      <c r="AP10" s="93" t="s">
        <v>134</v>
      </c>
      <c r="AQ10" s="92" t="s">
        <v>134</v>
      </c>
      <c r="AR10" s="92" t="s">
        <v>134</v>
      </c>
      <c r="AS10" s="92" t="s">
        <v>134</v>
      </c>
      <c r="AT10" s="1"/>
    </row>
    <row r="11" spans="2:46">
      <c r="C11" s="89"/>
      <c r="D11" s="93"/>
      <c r="E11" s="93"/>
      <c r="F11" s="93"/>
      <c r="G11" s="92"/>
      <c r="H11" s="92"/>
      <c r="I11" s="92"/>
      <c r="J11" s="91"/>
      <c r="K11" s="91"/>
      <c r="L11" s="91"/>
      <c r="M11" s="93"/>
      <c r="N11" s="93"/>
      <c r="O11" s="93"/>
      <c r="P11" s="92"/>
      <c r="Q11" s="92"/>
      <c r="R11" s="92"/>
      <c r="S11" s="91"/>
      <c r="T11" s="91"/>
      <c r="U11" s="91"/>
      <c r="V11" s="93"/>
      <c r="W11" s="93"/>
      <c r="X11" s="93"/>
      <c r="Y11" s="92"/>
      <c r="Z11" s="92"/>
      <c r="AA11" s="92"/>
      <c r="AB11" s="91"/>
      <c r="AC11" s="91"/>
      <c r="AD11" s="91"/>
      <c r="AE11" s="93"/>
      <c r="AF11" s="93"/>
      <c r="AG11" s="93"/>
      <c r="AH11" s="92"/>
      <c r="AI11" s="92"/>
      <c r="AJ11" s="92"/>
      <c r="AK11" s="91"/>
      <c r="AL11" s="91"/>
      <c r="AM11" s="91"/>
      <c r="AN11" s="93"/>
      <c r="AO11" s="93"/>
      <c r="AP11" s="93"/>
      <c r="AQ11" s="92"/>
      <c r="AR11" s="92"/>
      <c r="AS11" s="92"/>
      <c r="AT11" s="1"/>
    </row>
    <row r="12" spans="2:46">
      <c r="C12" s="89"/>
      <c r="D12" s="93"/>
      <c r="E12" s="93"/>
      <c r="F12" s="93"/>
      <c r="G12" s="92"/>
      <c r="H12" s="92"/>
      <c r="I12" s="92"/>
      <c r="J12" s="91"/>
      <c r="K12" s="91"/>
      <c r="L12" s="91"/>
      <c r="M12" s="93"/>
      <c r="N12" s="93"/>
      <c r="O12" s="93"/>
      <c r="P12" s="92"/>
      <c r="Q12" s="92"/>
      <c r="R12" s="92"/>
      <c r="S12" s="91"/>
      <c r="T12" s="91"/>
      <c r="U12" s="91"/>
      <c r="V12" s="93"/>
      <c r="W12" s="93"/>
      <c r="X12" s="93"/>
      <c r="Y12" s="92"/>
      <c r="Z12" s="92"/>
      <c r="AA12" s="92"/>
      <c r="AB12" s="91"/>
      <c r="AC12" s="91"/>
      <c r="AD12" s="91"/>
      <c r="AE12" s="93"/>
      <c r="AF12" s="93"/>
      <c r="AG12" s="93"/>
      <c r="AH12" s="92"/>
      <c r="AI12" s="92"/>
      <c r="AJ12" s="92"/>
      <c r="AK12" s="91"/>
      <c r="AL12" s="91"/>
      <c r="AM12" s="91"/>
      <c r="AN12" s="93"/>
      <c r="AO12" s="93"/>
      <c r="AP12" s="93"/>
      <c r="AQ12" s="92"/>
      <c r="AR12" s="92"/>
      <c r="AS12" s="92"/>
      <c r="AT12" s="1"/>
    </row>
    <row r="13" spans="2:46">
      <c r="C13" s="89"/>
      <c r="D13" s="93"/>
      <c r="E13" s="93"/>
      <c r="F13" s="93"/>
      <c r="G13" s="92"/>
      <c r="H13" s="92"/>
      <c r="I13" s="92"/>
      <c r="J13" s="91"/>
      <c r="K13" s="91"/>
      <c r="L13" s="91"/>
      <c r="M13" s="93"/>
      <c r="N13" s="93"/>
      <c r="O13" s="93"/>
      <c r="P13" s="92"/>
      <c r="Q13" s="92"/>
      <c r="R13" s="92"/>
      <c r="S13" s="91"/>
      <c r="T13" s="91"/>
      <c r="U13" s="91"/>
      <c r="V13" s="93"/>
      <c r="W13" s="93"/>
      <c r="X13" s="93"/>
      <c r="Y13" s="92"/>
      <c r="Z13" s="92"/>
      <c r="AA13" s="92"/>
      <c r="AB13" s="91"/>
      <c r="AC13" s="91"/>
      <c r="AD13" s="91"/>
      <c r="AE13" s="93"/>
      <c r="AF13" s="93"/>
      <c r="AG13" s="93"/>
      <c r="AH13" s="92"/>
      <c r="AI13" s="92"/>
      <c r="AJ13" s="92"/>
      <c r="AK13" s="91"/>
      <c r="AL13" s="91"/>
      <c r="AM13" s="91"/>
      <c r="AN13" s="93"/>
      <c r="AO13" s="93"/>
      <c r="AP13" s="93"/>
      <c r="AQ13" s="92"/>
      <c r="AR13" s="92"/>
      <c r="AS13" s="92"/>
      <c r="AT13" s="1"/>
    </row>
    <row r="14" spans="2:46">
      <c r="C14" s="89"/>
      <c r="D14" s="93"/>
      <c r="E14" s="93"/>
      <c r="F14" s="93"/>
      <c r="G14" s="92"/>
      <c r="H14" s="92"/>
      <c r="I14" s="92"/>
      <c r="J14" s="91"/>
      <c r="K14" s="91"/>
      <c r="L14" s="91"/>
      <c r="M14" s="93"/>
      <c r="N14" s="93"/>
      <c r="O14" s="93"/>
      <c r="P14" s="92"/>
      <c r="Q14" s="92"/>
      <c r="R14" s="92"/>
      <c r="S14" s="91"/>
      <c r="T14" s="91"/>
      <c r="U14" s="91"/>
      <c r="V14" s="93"/>
      <c r="W14" s="93"/>
      <c r="X14" s="93"/>
      <c r="Y14" s="92"/>
      <c r="Z14" s="92"/>
      <c r="AA14" s="92"/>
      <c r="AB14" s="91"/>
      <c r="AC14" s="91"/>
      <c r="AD14" s="91"/>
      <c r="AE14" s="93"/>
      <c r="AF14" s="93"/>
      <c r="AG14" s="93"/>
      <c r="AH14" s="92"/>
      <c r="AI14" s="92"/>
      <c r="AJ14" s="92"/>
      <c r="AK14" s="91"/>
      <c r="AL14" s="91"/>
      <c r="AM14" s="91"/>
      <c r="AN14" s="93"/>
      <c r="AO14" s="93"/>
      <c r="AP14" s="93"/>
      <c r="AQ14" s="92"/>
      <c r="AR14" s="92"/>
      <c r="AS14" s="92"/>
      <c r="AT14" s="1"/>
    </row>
    <row r="15" spans="2:46">
      <c r="C15" s="89"/>
      <c r="D15" s="93"/>
      <c r="E15" s="93"/>
      <c r="F15" s="93"/>
      <c r="G15" s="92"/>
      <c r="H15" s="92"/>
      <c r="I15" s="92"/>
      <c r="J15" s="91"/>
      <c r="K15" s="91"/>
      <c r="L15" s="91"/>
      <c r="M15" s="93"/>
      <c r="N15" s="93"/>
      <c r="O15" s="93"/>
      <c r="P15" s="92"/>
      <c r="Q15" s="92"/>
      <c r="R15" s="92"/>
      <c r="S15" s="91"/>
      <c r="T15" s="91"/>
      <c r="U15" s="91"/>
      <c r="V15" s="93"/>
      <c r="W15" s="93"/>
      <c r="X15" s="93"/>
      <c r="Y15" s="92"/>
      <c r="Z15" s="92"/>
      <c r="AA15" s="92"/>
      <c r="AB15" s="91"/>
      <c r="AC15" s="91"/>
      <c r="AD15" s="91"/>
      <c r="AE15" s="93"/>
      <c r="AF15" s="93"/>
      <c r="AG15" s="93"/>
      <c r="AH15" s="92"/>
      <c r="AI15" s="92"/>
      <c r="AJ15" s="92"/>
      <c r="AK15" s="91"/>
      <c r="AL15" s="91"/>
      <c r="AM15" s="91"/>
      <c r="AN15" s="93"/>
      <c r="AO15" s="93"/>
      <c r="AP15" s="93"/>
      <c r="AQ15" s="92"/>
      <c r="AR15" s="92"/>
      <c r="AS15" s="92"/>
    </row>
    <row r="16" spans="2:46">
      <c r="C16" s="12" t="s">
        <v>137</v>
      </c>
      <c r="D16" s="15"/>
      <c r="E16" s="15"/>
      <c r="F16" s="15"/>
      <c r="G16" s="14"/>
      <c r="H16" s="14"/>
      <c r="I16" s="14"/>
      <c r="J16" s="16">
        <v>6</v>
      </c>
      <c r="K16" s="16">
        <v>6</v>
      </c>
      <c r="L16" s="16">
        <v>2</v>
      </c>
      <c r="M16" s="15">
        <v>2</v>
      </c>
      <c r="N16" s="15">
        <v>2</v>
      </c>
      <c r="O16" s="15"/>
      <c r="P16" s="14">
        <v>6</v>
      </c>
      <c r="Q16" s="14">
        <v>6</v>
      </c>
      <c r="R16" s="14"/>
      <c r="S16" s="16">
        <v>2</v>
      </c>
      <c r="T16" s="16">
        <v>2</v>
      </c>
      <c r="U16" s="16">
        <v>2</v>
      </c>
      <c r="V16" s="15">
        <v>6</v>
      </c>
      <c r="W16" s="15">
        <v>6</v>
      </c>
      <c r="X16" s="15">
        <v>2</v>
      </c>
      <c r="Y16" s="14">
        <v>0</v>
      </c>
      <c r="Z16" s="14">
        <v>0</v>
      </c>
      <c r="AA16" s="14">
        <v>0</v>
      </c>
      <c r="AB16" s="16">
        <v>0</v>
      </c>
      <c r="AC16" s="16">
        <v>0</v>
      </c>
      <c r="AD16" s="16">
        <v>0</v>
      </c>
      <c r="AE16" s="15">
        <v>2</v>
      </c>
      <c r="AF16" s="15">
        <v>2</v>
      </c>
      <c r="AG16" s="15">
        <v>2</v>
      </c>
      <c r="AH16" s="14">
        <v>6</v>
      </c>
      <c r="AI16" s="14">
        <v>6</v>
      </c>
      <c r="AJ16" s="14">
        <v>6</v>
      </c>
      <c r="AK16" s="16">
        <v>6</v>
      </c>
      <c r="AL16" s="16">
        <v>6</v>
      </c>
      <c r="AM16" s="16">
        <v>6</v>
      </c>
      <c r="AN16" s="15">
        <v>6</v>
      </c>
      <c r="AO16" s="15">
        <v>6</v>
      </c>
      <c r="AP16" s="15">
        <v>6</v>
      </c>
      <c r="AQ16" s="14">
        <v>6</v>
      </c>
      <c r="AR16" s="14">
        <v>6</v>
      </c>
      <c r="AS16" s="14">
        <v>6</v>
      </c>
    </row>
    <row r="17" spans="3:45">
      <c r="C17" s="89" t="s">
        <v>138</v>
      </c>
      <c r="D17" s="88"/>
      <c r="E17" s="88"/>
      <c r="F17" s="88"/>
      <c r="G17" s="86"/>
      <c r="H17" s="86"/>
      <c r="I17" s="86"/>
      <c r="J17" s="87">
        <v>50</v>
      </c>
      <c r="K17" s="87">
        <v>30</v>
      </c>
      <c r="L17" s="87">
        <v>90</v>
      </c>
      <c r="M17" s="88">
        <v>50</v>
      </c>
      <c r="N17" s="88">
        <v>50</v>
      </c>
      <c r="O17" s="88">
        <v>0</v>
      </c>
      <c r="P17" s="86">
        <v>50</v>
      </c>
      <c r="Q17" s="86">
        <v>50</v>
      </c>
      <c r="R17" s="86">
        <v>0</v>
      </c>
      <c r="S17" s="87">
        <v>50</v>
      </c>
      <c r="T17" s="87">
        <v>10</v>
      </c>
      <c r="U17" s="87">
        <v>10</v>
      </c>
      <c r="V17" s="88">
        <v>50</v>
      </c>
      <c r="W17" s="88">
        <v>20</v>
      </c>
      <c r="X17" s="88">
        <v>10</v>
      </c>
      <c r="Y17" s="86">
        <v>0</v>
      </c>
      <c r="Z17" s="86">
        <v>0</v>
      </c>
      <c r="AA17" s="86">
        <v>0</v>
      </c>
      <c r="AB17" s="87">
        <v>0</v>
      </c>
      <c r="AC17" s="87">
        <v>0</v>
      </c>
      <c r="AD17" s="87">
        <v>0</v>
      </c>
      <c r="AE17" s="88">
        <v>10</v>
      </c>
      <c r="AF17" s="88">
        <v>10</v>
      </c>
      <c r="AG17" s="88">
        <v>10</v>
      </c>
      <c r="AH17" s="86"/>
      <c r="AI17" s="86">
        <v>10</v>
      </c>
      <c r="AJ17" s="86">
        <v>10</v>
      </c>
      <c r="AK17" s="87">
        <v>10</v>
      </c>
      <c r="AL17" s="87">
        <v>10</v>
      </c>
      <c r="AM17" s="87">
        <v>10</v>
      </c>
      <c r="AN17" s="88">
        <v>10</v>
      </c>
      <c r="AO17" s="88">
        <v>10</v>
      </c>
      <c r="AP17" s="88">
        <v>10</v>
      </c>
      <c r="AQ17" s="86">
        <v>10</v>
      </c>
      <c r="AR17" s="86">
        <v>10</v>
      </c>
      <c r="AS17" s="86">
        <v>10</v>
      </c>
    </row>
    <row r="18" spans="3:45">
      <c r="C18" s="89"/>
      <c r="D18" s="88"/>
      <c r="E18" s="88"/>
      <c r="F18" s="88"/>
      <c r="G18" s="86"/>
      <c r="H18" s="86"/>
      <c r="I18" s="86"/>
      <c r="J18" s="87"/>
      <c r="K18" s="87"/>
      <c r="L18" s="87"/>
      <c r="M18" s="88"/>
      <c r="N18" s="88"/>
      <c r="O18" s="88"/>
      <c r="P18" s="86"/>
      <c r="Q18" s="86"/>
      <c r="R18" s="86"/>
      <c r="S18" s="87"/>
      <c r="T18" s="87"/>
      <c r="U18" s="87"/>
      <c r="V18" s="88"/>
      <c r="W18" s="88"/>
      <c r="X18" s="88"/>
      <c r="Y18" s="86"/>
      <c r="Z18" s="86"/>
      <c r="AA18" s="86"/>
      <c r="AB18" s="87"/>
      <c r="AC18" s="87"/>
      <c r="AD18" s="87"/>
      <c r="AE18" s="88"/>
      <c r="AF18" s="88"/>
      <c r="AG18" s="88"/>
      <c r="AH18" s="86"/>
      <c r="AI18" s="86"/>
      <c r="AJ18" s="86"/>
      <c r="AK18" s="87"/>
      <c r="AL18" s="87"/>
      <c r="AM18" s="87"/>
      <c r="AN18" s="88"/>
      <c r="AO18" s="88"/>
      <c r="AP18" s="88"/>
      <c r="AQ18" s="86"/>
      <c r="AR18" s="86"/>
      <c r="AS18" s="86"/>
    </row>
    <row r="19" spans="3:45">
      <c r="C19" s="89"/>
      <c r="D19" s="88"/>
      <c r="E19" s="88"/>
      <c r="F19" s="88"/>
      <c r="G19" s="86"/>
      <c r="H19" s="86"/>
      <c r="I19" s="86"/>
      <c r="J19" s="87"/>
      <c r="K19" s="87"/>
      <c r="L19" s="87"/>
      <c r="M19" s="88"/>
      <c r="N19" s="88"/>
      <c r="O19" s="88"/>
      <c r="P19" s="86"/>
      <c r="Q19" s="86"/>
      <c r="R19" s="86"/>
      <c r="S19" s="87"/>
      <c r="T19" s="87"/>
      <c r="U19" s="87"/>
      <c r="V19" s="88"/>
      <c r="W19" s="88"/>
      <c r="X19" s="88"/>
      <c r="Y19" s="86"/>
      <c r="Z19" s="86"/>
      <c r="AA19" s="86"/>
      <c r="AB19" s="87"/>
      <c r="AC19" s="87"/>
      <c r="AD19" s="87"/>
      <c r="AE19" s="88"/>
      <c r="AF19" s="88"/>
      <c r="AG19" s="88"/>
      <c r="AH19" s="86"/>
      <c r="AI19" s="86"/>
      <c r="AJ19" s="86"/>
      <c r="AK19" s="87"/>
      <c r="AL19" s="87"/>
      <c r="AM19" s="87"/>
      <c r="AN19" s="88"/>
      <c r="AO19" s="88"/>
      <c r="AP19" s="88"/>
      <c r="AQ19" s="86"/>
      <c r="AR19" s="86"/>
      <c r="AS19" s="86"/>
    </row>
    <row r="20" spans="3:45">
      <c r="C20" s="89" t="s">
        <v>159</v>
      </c>
      <c r="D20" s="88">
        <f t="shared" ref="D20:AS20" si="0">(D16*D17)</f>
        <v>0</v>
      </c>
      <c r="E20" s="88">
        <f t="shared" si="0"/>
        <v>0</v>
      </c>
      <c r="F20" s="88">
        <f t="shared" si="0"/>
        <v>0</v>
      </c>
      <c r="G20" s="86">
        <f t="shared" si="0"/>
        <v>0</v>
      </c>
      <c r="H20" s="86">
        <f t="shared" si="0"/>
        <v>0</v>
      </c>
      <c r="I20" s="86">
        <f t="shared" si="0"/>
        <v>0</v>
      </c>
      <c r="J20" s="87">
        <f t="shared" si="0"/>
        <v>300</v>
      </c>
      <c r="K20" s="87">
        <f t="shared" si="0"/>
        <v>180</v>
      </c>
      <c r="L20" s="87">
        <f t="shared" si="0"/>
        <v>180</v>
      </c>
      <c r="M20" s="88">
        <f t="shared" si="0"/>
        <v>100</v>
      </c>
      <c r="N20" s="88">
        <f t="shared" si="0"/>
        <v>100</v>
      </c>
      <c r="O20" s="88">
        <f t="shared" si="0"/>
        <v>0</v>
      </c>
      <c r="P20" s="86">
        <f t="shared" si="0"/>
        <v>300</v>
      </c>
      <c r="Q20" s="86">
        <f t="shared" si="0"/>
        <v>300</v>
      </c>
      <c r="R20" s="86">
        <f t="shared" si="0"/>
        <v>0</v>
      </c>
      <c r="S20" s="87">
        <f t="shared" si="0"/>
        <v>100</v>
      </c>
      <c r="T20" s="87">
        <f t="shared" si="0"/>
        <v>20</v>
      </c>
      <c r="U20" s="87">
        <f t="shared" si="0"/>
        <v>20</v>
      </c>
      <c r="V20" s="88">
        <f t="shared" si="0"/>
        <v>300</v>
      </c>
      <c r="W20" s="88">
        <f t="shared" si="0"/>
        <v>120</v>
      </c>
      <c r="X20" s="88">
        <f t="shared" si="0"/>
        <v>20</v>
      </c>
      <c r="Y20" s="86">
        <f t="shared" si="0"/>
        <v>0</v>
      </c>
      <c r="Z20" s="86">
        <f t="shared" si="0"/>
        <v>0</v>
      </c>
      <c r="AA20" s="86">
        <f t="shared" si="0"/>
        <v>0</v>
      </c>
      <c r="AB20" s="87">
        <f t="shared" si="0"/>
        <v>0</v>
      </c>
      <c r="AC20" s="87">
        <f t="shared" si="0"/>
        <v>0</v>
      </c>
      <c r="AD20" s="87">
        <f t="shared" si="0"/>
        <v>0</v>
      </c>
      <c r="AE20" s="88">
        <f t="shared" si="0"/>
        <v>20</v>
      </c>
      <c r="AF20" s="88">
        <f t="shared" si="0"/>
        <v>20</v>
      </c>
      <c r="AG20" s="88">
        <f t="shared" si="0"/>
        <v>20</v>
      </c>
      <c r="AH20" s="86">
        <f t="shared" si="0"/>
        <v>0</v>
      </c>
      <c r="AI20" s="86">
        <f t="shared" si="0"/>
        <v>60</v>
      </c>
      <c r="AJ20" s="86">
        <f t="shared" si="0"/>
        <v>60</v>
      </c>
      <c r="AK20" s="87">
        <f t="shared" si="0"/>
        <v>60</v>
      </c>
      <c r="AL20" s="87">
        <f t="shared" si="0"/>
        <v>60</v>
      </c>
      <c r="AM20" s="87">
        <f t="shared" si="0"/>
        <v>60</v>
      </c>
      <c r="AN20" s="88">
        <f t="shared" si="0"/>
        <v>60</v>
      </c>
      <c r="AO20" s="88">
        <f t="shared" si="0"/>
        <v>60</v>
      </c>
      <c r="AP20" s="88">
        <f t="shared" si="0"/>
        <v>60</v>
      </c>
      <c r="AQ20" s="86">
        <f t="shared" si="0"/>
        <v>60</v>
      </c>
      <c r="AR20" s="86">
        <f t="shared" si="0"/>
        <v>60</v>
      </c>
      <c r="AS20" s="86">
        <f t="shared" si="0"/>
        <v>60</v>
      </c>
    </row>
    <row r="21" spans="3:45">
      <c r="C21" s="89"/>
      <c r="D21" s="88"/>
      <c r="E21" s="88"/>
      <c r="F21" s="88"/>
      <c r="G21" s="86"/>
      <c r="H21" s="86"/>
      <c r="I21" s="86"/>
      <c r="J21" s="87"/>
      <c r="K21" s="87"/>
      <c r="L21" s="87"/>
      <c r="M21" s="88"/>
      <c r="N21" s="88"/>
      <c r="O21" s="88"/>
      <c r="P21" s="86"/>
      <c r="Q21" s="86"/>
      <c r="R21" s="86"/>
      <c r="S21" s="87"/>
      <c r="T21" s="87"/>
      <c r="U21" s="87"/>
      <c r="V21" s="88"/>
      <c r="W21" s="88"/>
      <c r="X21" s="88"/>
      <c r="Y21" s="86"/>
      <c r="Z21" s="86"/>
      <c r="AA21" s="86"/>
      <c r="AB21" s="87"/>
      <c r="AC21" s="87"/>
      <c r="AD21" s="87"/>
      <c r="AE21" s="88"/>
      <c r="AF21" s="88"/>
      <c r="AG21" s="88"/>
      <c r="AH21" s="86"/>
      <c r="AI21" s="86"/>
      <c r="AJ21" s="86"/>
      <c r="AK21" s="87"/>
      <c r="AL21" s="87"/>
      <c r="AM21" s="87"/>
      <c r="AN21" s="88"/>
      <c r="AO21" s="88"/>
      <c r="AP21" s="88"/>
      <c r="AQ21" s="86"/>
      <c r="AR21" s="86"/>
      <c r="AS21" s="86"/>
    </row>
    <row r="22" spans="3:45">
      <c r="C22" s="89"/>
      <c r="D22" s="88"/>
      <c r="E22" s="88"/>
      <c r="F22" s="88"/>
      <c r="G22" s="86"/>
      <c r="H22" s="86"/>
      <c r="I22" s="86"/>
      <c r="J22" s="87"/>
      <c r="K22" s="87"/>
      <c r="L22" s="87"/>
      <c r="M22" s="88"/>
      <c r="N22" s="88"/>
      <c r="O22" s="88"/>
      <c r="P22" s="86"/>
      <c r="Q22" s="86"/>
      <c r="R22" s="86"/>
      <c r="S22" s="87"/>
      <c r="T22" s="87"/>
      <c r="U22" s="87"/>
      <c r="V22" s="88"/>
      <c r="W22" s="88"/>
      <c r="X22" s="88"/>
      <c r="Y22" s="86"/>
      <c r="Z22" s="86"/>
      <c r="AA22" s="86"/>
      <c r="AB22" s="87"/>
      <c r="AC22" s="87"/>
      <c r="AD22" s="87"/>
      <c r="AE22" s="88"/>
      <c r="AF22" s="88"/>
      <c r="AG22" s="88"/>
      <c r="AH22" s="86"/>
      <c r="AI22" s="86"/>
      <c r="AJ22" s="86"/>
      <c r="AK22" s="87"/>
      <c r="AL22" s="87"/>
      <c r="AM22" s="87"/>
      <c r="AN22" s="88"/>
      <c r="AO22" s="88"/>
      <c r="AP22" s="88"/>
      <c r="AQ22" s="86"/>
      <c r="AR22" s="86"/>
      <c r="AS22" s="86"/>
    </row>
    <row r="23" spans="3:45">
      <c r="C23" s="89" t="s">
        <v>144</v>
      </c>
      <c r="D23" s="88">
        <f>SUM(D20:F22)</f>
        <v>0</v>
      </c>
      <c r="E23" s="88"/>
      <c r="F23" s="88"/>
      <c r="G23" s="86">
        <f>SUM(G20:I22)</f>
        <v>0</v>
      </c>
      <c r="H23" s="86"/>
      <c r="I23" s="86"/>
      <c r="J23" s="87">
        <f>SUM(J20:L22)</f>
        <v>660</v>
      </c>
      <c r="K23" s="87"/>
      <c r="L23" s="87"/>
      <c r="M23" s="88">
        <f>SUM(M20:O22)</f>
        <v>200</v>
      </c>
      <c r="N23" s="88"/>
      <c r="O23" s="88"/>
      <c r="P23" s="86">
        <f>SUM(P20:R22)</f>
        <v>600</v>
      </c>
      <c r="Q23" s="86"/>
      <c r="R23" s="86"/>
      <c r="S23" s="87">
        <f>SUM(S20:U22)</f>
        <v>140</v>
      </c>
      <c r="T23" s="87"/>
      <c r="U23" s="87"/>
      <c r="V23" s="88">
        <f>SUM(V20:X22)</f>
        <v>440</v>
      </c>
      <c r="W23" s="88"/>
      <c r="X23" s="88"/>
      <c r="Y23" s="86">
        <f>SUM(Y20:AA22)</f>
        <v>0</v>
      </c>
      <c r="Z23" s="86"/>
      <c r="AA23" s="86"/>
      <c r="AB23" s="87">
        <f>SUM(AB20:AD22)</f>
        <v>0</v>
      </c>
      <c r="AC23" s="87"/>
      <c r="AD23" s="87"/>
      <c r="AE23" s="88">
        <f>SUM(AE20:AG22)</f>
        <v>60</v>
      </c>
      <c r="AF23" s="88"/>
      <c r="AG23" s="88"/>
      <c r="AH23" s="86">
        <f>SUM(AH20:AJ22)</f>
        <v>120</v>
      </c>
      <c r="AI23" s="86"/>
      <c r="AJ23" s="86"/>
      <c r="AK23" s="87">
        <f>SUM(AK20:AM22)</f>
        <v>180</v>
      </c>
      <c r="AL23" s="87"/>
      <c r="AM23" s="87"/>
      <c r="AN23" s="88">
        <f>SUM(AN20:AP22)</f>
        <v>180</v>
      </c>
      <c r="AO23" s="88"/>
      <c r="AP23" s="88"/>
      <c r="AQ23" s="86">
        <f>SUM(AQ20:AS22)</f>
        <v>180</v>
      </c>
      <c r="AR23" s="86"/>
      <c r="AS23" s="86"/>
    </row>
    <row r="24" spans="3:45">
      <c r="C24" s="89"/>
      <c r="D24" s="88"/>
      <c r="E24" s="88"/>
      <c r="F24" s="88"/>
      <c r="G24" s="86"/>
      <c r="H24" s="86"/>
      <c r="I24" s="86"/>
      <c r="J24" s="87"/>
      <c r="K24" s="87"/>
      <c r="L24" s="87"/>
      <c r="M24" s="88"/>
      <c r="N24" s="88"/>
      <c r="O24" s="88"/>
      <c r="P24" s="86"/>
      <c r="Q24" s="86"/>
      <c r="R24" s="86"/>
      <c r="S24" s="87"/>
      <c r="T24" s="87"/>
      <c r="U24" s="87"/>
      <c r="V24" s="88"/>
      <c r="W24" s="88"/>
      <c r="X24" s="88"/>
      <c r="Y24" s="86"/>
      <c r="Z24" s="86"/>
      <c r="AA24" s="86"/>
      <c r="AB24" s="87"/>
      <c r="AC24" s="87"/>
      <c r="AD24" s="87"/>
      <c r="AE24" s="88"/>
      <c r="AF24" s="88"/>
      <c r="AG24" s="88"/>
      <c r="AH24" s="86"/>
      <c r="AI24" s="86"/>
      <c r="AJ24" s="86"/>
      <c r="AK24" s="87"/>
      <c r="AL24" s="87"/>
      <c r="AM24" s="87"/>
      <c r="AN24" s="88"/>
      <c r="AO24" s="88"/>
      <c r="AP24" s="88"/>
      <c r="AQ24" s="86"/>
      <c r="AR24" s="86"/>
      <c r="AS24" s="86"/>
    </row>
    <row r="25" spans="3:45">
      <c r="C25" s="89"/>
      <c r="D25" s="88"/>
      <c r="E25" s="88"/>
      <c r="F25" s="88"/>
      <c r="G25" s="86"/>
      <c r="H25" s="86"/>
      <c r="I25" s="86"/>
      <c r="J25" s="87"/>
      <c r="K25" s="87"/>
      <c r="L25" s="87"/>
      <c r="M25" s="88"/>
      <c r="N25" s="88"/>
      <c r="O25" s="88"/>
      <c r="P25" s="86"/>
      <c r="Q25" s="86"/>
      <c r="R25" s="86"/>
      <c r="S25" s="87"/>
      <c r="T25" s="87"/>
      <c r="U25" s="87"/>
      <c r="V25" s="88"/>
      <c r="W25" s="88"/>
      <c r="X25" s="88"/>
      <c r="Y25" s="86"/>
      <c r="Z25" s="86"/>
      <c r="AA25" s="86"/>
      <c r="AB25" s="87"/>
      <c r="AC25" s="87"/>
      <c r="AD25" s="87"/>
      <c r="AE25" s="88"/>
      <c r="AF25" s="88"/>
      <c r="AG25" s="88"/>
      <c r="AH25" s="86"/>
      <c r="AI25" s="86"/>
      <c r="AJ25" s="86"/>
      <c r="AK25" s="87"/>
      <c r="AL25" s="87"/>
      <c r="AM25" s="87"/>
      <c r="AN25" s="88"/>
      <c r="AO25" s="88"/>
      <c r="AP25" s="88"/>
      <c r="AQ25" s="86"/>
      <c r="AR25" s="86"/>
      <c r="AS25" s="86"/>
    </row>
    <row r="26" spans="3:45">
      <c r="C26" s="89" t="s">
        <v>145</v>
      </c>
      <c r="D26" s="45">
        <f>SUM(D23:AS25)</f>
        <v>2760</v>
      </c>
      <c r="E26" s="45"/>
      <c r="F26" s="89" t="s">
        <v>142</v>
      </c>
      <c r="G26" s="45">
        <f>D26/60</f>
        <v>46</v>
      </c>
    </row>
    <row r="27" spans="3:45">
      <c r="C27" s="89"/>
      <c r="D27" s="45"/>
      <c r="E27" s="45"/>
      <c r="F27" s="89"/>
      <c r="G27" s="45"/>
    </row>
    <row r="28" spans="3:45">
      <c r="C28" s="89"/>
      <c r="D28" s="45"/>
      <c r="E28" s="45"/>
      <c r="F28" s="89"/>
      <c r="G28" s="45"/>
    </row>
    <row r="29" spans="3:45">
      <c r="C29" s="9"/>
    </row>
    <row r="31" spans="3:45">
      <c r="C31" s="83" t="s">
        <v>174</v>
      </c>
      <c r="D31" s="83"/>
      <c r="E31" s="83"/>
      <c r="F31" s="84">
        <f>SUM(D23:L25)</f>
        <v>660</v>
      </c>
      <c r="G31" s="84"/>
      <c r="T31" s="2" t="s">
        <v>0</v>
      </c>
      <c r="U31" s="47" t="s">
        <v>3</v>
      </c>
      <c r="V31" s="47"/>
      <c r="W31" s="47" t="s">
        <v>4</v>
      </c>
      <c r="X31" s="47"/>
      <c r="Y31" s="47" t="s">
        <v>1</v>
      </c>
      <c r="Z31" s="47"/>
      <c r="AA31" s="47" t="s">
        <v>2</v>
      </c>
      <c r="AB31" s="47"/>
    </row>
    <row r="32" spans="3:45">
      <c r="C32" s="83" t="s">
        <v>175</v>
      </c>
      <c r="D32" s="83"/>
      <c r="E32" s="83"/>
      <c r="F32" s="84">
        <f>SUM(M23:X25)</f>
        <v>1380</v>
      </c>
      <c r="G32" s="84"/>
      <c r="T32" s="17" t="s">
        <v>143</v>
      </c>
      <c r="U32" s="45">
        <f>D23</f>
        <v>0</v>
      </c>
      <c r="V32" s="45"/>
      <c r="W32" s="45">
        <f>U32</f>
        <v>0</v>
      </c>
      <c r="X32" s="45"/>
      <c r="Y32" s="45">
        <f>U32/U46</f>
        <v>0</v>
      </c>
      <c r="Z32" s="45"/>
      <c r="AA32" s="45">
        <f>W32/U46</f>
        <v>0</v>
      </c>
      <c r="AB32" s="45"/>
    </row>
    <row r="33" spans="3:28">
      <c r="C33" s="83" t="s">
        <v>176</v>
      </c>
      <c r="D33" s="83"/>
      <c r="E33" s="83"/>
      <c r="F33" s="84">
        <f>SUM(Y23:AJ25)</f>
        <v>180</v>
      </c>
      <c r="G33" s="84"/>
      <c r="T33" s="17" t="s">
        <v>146</v>
      </c>
      <c r="U33" s="45">
        <f>G23</f>
        <v>0</v>
      </c>
      <c r="V33" s="45"/>
      <c r="W33" s="43">
        <f t="shared" ref="W33:W45" si="1">SUM(W32,U33)</f>
        <v>0</v>
      </c>
      <c r="X33" s="43"/>
      <c r="Y33" s="45">
        <f>U33/U46</f>
        <v>0</v>
      </c>
      <c r="Z33" s="45"/>
      <c r="AA33" s="45">
        <f>W33/U46</f>
        <v>0</v>
      </c>
      <c r="AB33" s="45"/>
    </row>
    <row r="34" spans="3:28">
      <c r="C34" s="83" t="s">
        <v>177</v>
      </c>
      <c r="D34" s="83"/>
      <c r="E34" s="83"/>
      <c r="F34" s="84">
        <f>SUM(AK23:AS25)</f>
        <v>540</v>
      </c>
      <c r="G34" s="84"/>
      <c r="T34" s="17" t="s">
        <v>147</v>
      </c>
      <c r="U34" s="45">
        <f>J23</f>
        <v>660</v>
      </c>
      <c r="V34" s="45"/>
      <c r="W34" s="43">
        <f t="shared" si="1"/>
        <v>660</v>
      </c>
      <c r="X34" s="43"/>
      <c r="Y34" s="45">
        <f>U34/U46</f>
        <v>0.2391304347826087</v>
      </c>
      <c r="Z34" s="45"/>
      <c r="AA34" s="45">
        <f>W34/U46</f>
        <v>0.2391304347826087</v>
      </c>
      <c r="AB34" s="45"/>
    </row>
    <row r="35" spans="3:28">
      <c r="T35" s="17" t="s">
        <v>148</v>
      </c>
      <c r="U35" s="45">
        <f>M23</f>
        <v>200</v>
      </c>
      <c r="V35" s="45"/>
      <c r="W35" s="43">
        <f t="shared" si="1"/>
        <v>860</v>
      </c>
      <c r="X35" s="43"/>
      <c r="Y35" s="45">
        <f>U35/U46</f>
        <v>7.2463768115942032E-2</v>
      </c>
      <c r="Z35" s="45"/>
      <c r="AA35" s="45">
        <f>W35/U46</f>
        <v>0.31159420289855072</v>
      </c>
      <c r="AB35" s="45"/>
    </row>
    <row r="36" spans="3:28">
      <c r="T36" s="17" t="s">
        <v>149</v>
      </c>
      <c r="U36" s="45">
        <f>P23</f>
        <v>600</v>
      </c>
      <c r="V36" s="45"/>
      <c r="W36" s="43">
        <f t="shared" si="1"/>
        <v>1460</v>
      </c>
      <c r="X36" s="43"/>
      <c r="Y36" s="45">
        <f>U36/U46</f>
        <v>0.21739130434782608</v>
      </c>
      <c r="Z36" s="45"/>
      <c r="AA36" s="45">
        <f>W36/U46</f>
        <v>0.52898550724637683</v>
      </c>
      <c r="AB36" s="45"/>
    </row>
    <row r="37" spans="3:28">
      <c r="T37" s="17" t="s">
        <v>150</v>
      </c>
      <c r="U37" s="45">
        <f>S23</f>
        <v>140</v>
      </c>
      <c r="V37" s="45"/>
      <c r="W37" s="43">
        <f t="shared" si="1"/>
        <v>1600</v>
      </c>
      <c r="X37" s="43"/>
      <c r="Y37" s="45">
        <f>U37/U46</f>
        <v>5.0724637681159424E-2</v>
      </c>
      <c r="Z37" s="45"/>
      <c r="AA37" s="45">
        <f>W37/U46</f>
        <v>0.57971014492753625</v>
      </c>
      <c r="AB37" s="45"/>
    </row>
    <row r="38" spans="3:28">
      <c r="T38" s="17" t="s">
        <v>151</v>
      </c>
      <c r="U38" s="45">
        <f>V23</f>
        <v>440</v>
      </c>
      <c r="V38" s="45"/>
      <c r="W38" s="43">
        <f t="shared" si="1"/>
        <v>2040</v>
      </c>
      <c r="X38" s="43"/>
      <c r="Y38" s="45">
        <f>U38/U46</f>
        <v>0.15942028985507245</v>
      </c>
      <c r="Z38" s="45"/>
      <c r="AA38" s="45">
        <f>W38/U46</f>
        <v>0.73913043478260865</v>
      </c>
      <c r="AB38" s="45"/>
    </row>
    <row r="39" spans="3:28">
      <c r="T39" s="17" t="s">
        <v>152</v>
      </c>
      <c r="U39" s="45">
        <f>Y23</f>
        <v>0</v>
      </c>
      <c r="V39" s="45"/>
      <c r="W39" s="43">
        <f t="shared" si="1"/>
        <v>2040</v>
      </c>
      <c r="X39" s="43"/>
      <c r="Y39" s="45">
        <f>U39/U46</f>
        <v>0</v>
      </c>
      <c r="Z39" s="45"/>
      <c r="AA39" s="45">
        <f>W39/U46</f>
        <v>0.73913043478260865</v>
      </c>
      <c r="AB39" s="45"/>
    </row>
    <row r="40" spans="3:28">
      <c r="T40" s="17" t="s">
        <v>153</v>
      </c>
      <c r="U40" s="45">
        <f>AB23</f>
        <v>0</v>
      </c>
      <c r="V40" s="45"/>
      <c r="W40" s="43">
        <f t="shared" si="1"/>
        <v>2040</v>
      </c>
      <c r="X40" s="43"/>
      <c r="Y40" s="45">
        <f>U40/U46</f>
        <v>0</v>
      </c>
      <c r="Z40" s="45"/>
      <c r="AA40" s="45">
        <f>W40/U46</f>
        <v>0.73913043478260865</v>
      </c>
      <c r="AB40" s="45"/>
    </row>
    <row r="41" spans="3:28">
      <c r="T41" s="17" t="s">
        <v>154</v>
      </c>
      <c r="U41" s="45">
        <f>AE23</f>
        <v>60</v>
      </c>
      <c r="V41" s="45"/>
      <c r="W41" s="43">
        <f t="shared" si="1"/>
        <v>2100</v>
      </c>
      <c r="X41" s="43"/>
      <c r="Y41" s="45">
        <f>U41/U46</f>
        <v>2.1739130434782608E-2</v>
      </c>
      <c r="Z41" s="45"/>
      <c r="AA41" s="45">
        <f>W41/U46</f>
        <v>0.76086956521739135</v>
      </c>
      <c r="AB41" s="45"/>
    </row>
    <row r="42" spans="3:28">
      <c r="T42" s="17" t="s">
        <v>155</v>
      </c>
      <c r="U42" s="45">
        <f>AH23</f>
        <v>120</v>
      </c>
      <c r="V42" s="45"/>
      <c r="W42" s="43">
        <f t="shared" si="1"/>
        <v>2220</v>
      </c>
      <c r="X42" s="43"/>
      <c r="Y42" s="45">
        <f>U42/U46</f>
        <v>4.3478260869565216E-2</v>
      </c>
      <c r="Z42" s="45"/>
      <c r="AA42" s="45">
        <f>W42/U46</f>
        <v>0.80434782608695654</v>
      </c>
      <c r="AB42" s="45"/>
    </row>
    <row r="43" spans="3:28">
      <c r="T43" s="17" t="s">
        <v>156</v>
      </c>
      <c r="U43" s="45">
        <f>AK23</f>
        <v>180</v>
      </c>
      <c r="V43" s="45"/>
      <c r="W43" s="43">
        <f t="shared" si="1"/>
        <v>2400</v>
      </c>
      <c r="X43" s="43"/>
      <c r="Y43" s="45">
        <f>U43/U46</f>
        <v>6.5217391304347824E-2</v>
      </c>
      <c r="Z43" s="45"/>
      <c r="AA43" s="45">
        <f>W43/U46</f>
        <v>0.86956521739130432</v>
      </c>
      <c r="AB43" s="45"/>
    </row>
    <row r="44" spans="3:28">
      <c r="T44" s="17" t="s">
        <v>157</v>
      </c>
      <c r="U44" s="45">
        <f>AN23</f>
        <v>180</v>
      </c>
      <c r="V44" s="45"/>
      <c r="W44" s="43">
        <f t="shared" si="1"/>
        <v>2580</v>
      </c>
      <c r="X44" s="43"/>
      <c r="Y44" s="45">
        <f>U44/U46</f>
        <v>6.5217391304347824E-2</v>
      </c>
      <c r="Z44" s="45"/>
      <c r="AA44" s="45">
        <f>W44/U46</f>
        <v>0.93478260869565222</v>
      </c>
      <c r="AB44" s="45"/>
    </row>
    <row r="45" spans="3:28">
      <c r="T45" s="17" t="s">
        <v>158</v>
      </c>
      <c r="U45" s="45">
        <f>AQ23</f>
        <v>180</v>
      </c>
      <c r="V45" s="45"/>
      <c r="W45" s="43">
        <f t="shared" si="1"/>
        <v>2760</v>
      </c>
      <c r="X45" s="43"/>
      <c r="Y45" s="45">
        <f>U45/U46</f>
        <v>6.5217391304347824E-2</v>
      </c>
      <c r="Z45" s="45"/>
      <c r="AA45" s="45">
        <f>W45/U46</f>
        <v>1</v>
      </c>
      <c r="AB45" s="45"/>
    </row>
    <row r="46" spans="3:28">
      <c r="U46" s="45">
        <f>SUM(U32:V45)</f>
        <v>2760</v>
      </c>
      <c r="V46" s="45"/>
      <c r="Y46" s="45">
        <f>SUM(Y32:Z45)</f>
        <v>0.99999999999999978</v>
      </c>
      <c r="Z46" s="45"/>
    </row>
    <row r="47" spans="3:28">
      <c r="U47" s="45"/>
      <c r="V47" s="45"/>
      <c r="Y47" s="45"/>
      <c r="Z47" s="45"/>
    </row>
    <row r="52" spans="20:28">
      <c r="T52" s="47" t="s">
        <v>160</v>
      </c>
      <c r="U52" s="47"/>
      <c r="V52" s="47"/>
      <c r="W52" s="47" t="s">
        <v>163</v>
      </c>
      <c r="X52" s="47"/>
      <c r="Y52" s="47"/>
      <c r="Z52" s="47" t="s">
        <v>162</v>
      </c>
      <c r="AA52" s="47"/>
      <c r="AB52" s="47"/>
    </row>
    <row r="53" spans="20:28">
      <c r="T53" s="45">
        <f>AVERAGE(U32:V45)</f>
        <v>197.14285714285714</v>
      </c>
      <c r="U53" s="45"/>
      <c r="V53" s="45"/>
      <c r="W53" s="45">
        <f>MEDIAN(U32:V45)</f>
        <v>160</v>
      </c>
      <c r="X53" s="45"/>
      <c r="Y53" s="45"/>
      <c r="Z53" s="45">
        <f>MODE(U32:V45)</f>
        <v>0</v>
      </c>
      <c r="AA53" s="45"/>
      <c r="AB53" s="45"/>
    </row>
  </sheetData>
  <autoFilter ref="U31:AB45" xr:uid="{00000000-0009-0000-0000-000006000000}">
    <filterColumn colId="0" showButton="0"/>
    <filterColumn colId="2" showButton="0"/>
    <filterColumn colId="4" showButton="0"/>
    <filterColumn colId="6" showButton="0"/>
  </autoFilter>
  <mergeCells count="244">
    <mergeCell ref="Y8:AA8"/>
    <mergeCell ref="AB8:AD8"/>
    <mergeCell ref="AN8:AP8"/>
    <mergeCell ref="X10:X15"/>
    <mergeCell ref="Y10:Y15"/>
    <mergeCell ref="Z10:Z15"/>
    <mergeCell ref="AA10:AA15"/>
    <mergeCell ref="AB10:AB15"/>
    <mergeCell ref="AC10:AC15"/>
    <mergeCell ref="AD10:AD15"/>
    <mergeCell ref="AE10:AE15"/>
    <mergeCell ref="AF10:AF15"/>
    <mergeCell ref="AG10:AG15"/>
    <mergeCell ref="AH8:AJ8"/>
    <mergeCell ref="AH10:AH15"/>
    <mergeCell ref="AI10:AI15"/>
    <mergeCell ref="AJ10:AJ15"/>
    <mergeCell ref="AK8:AM8"/>
    <mergeCell ref="AE8:AG8"/>
    <mergeCell ref="AQ8:AS8"/>
    <mergeCell ref="AK10:AK15"/>
    <mergeCell ref="AL10:AL15"/>
    <mergeCell ref="AM10:AM15"/>
    <mergeCell ref="AN10:AN15"/>
    <mergeCell ref="AO10:AO15"/>
    <mergeCell ref="AP10:AP15"/>
    <mergeCell ref="AQ10:AQ15"/>
    <mergeCell ref="AR10:AR15"/>
    <mergeCell ref="AS10:AS15"/>
    <mergeCell ref="U10:U15"/>
    <mergeCell ref="V10:V15"/>
    <mergeCell ref="W10:W15"/>
    <mergeCell ref="J8:L8"/>
    <mergeCell ref="M10:M15"/>
    <mergeCell ref="N10:N15"/>
    <mergeCell ref="O10:O15"/>
    <mergeCell ref="P10:P15"/>
    <mergeCell ref="Q10:Q15"/>
    <mergeCell ref="R10:R15"/>
    <mergeCell ref="J10:J15"/>
    <mergeCell ref="K10:K15"/>
    <mergeCell ref="L10:L15"/>
    <mergeCell ref="M8:O8"/>
    <mergeCell ref="P8:R8"/>
    <mergeCell ref="S8:U8"/>
    <mergeCell ref="V8:X8"/>
    <mergeCell ref="D8:F8"/>
    <mergeCell ref="G8:I8"/>
    <mergeCell ref="C17:C19"/>
    <mergeCell ref="D17:D19"/>
    <mergeCell ref="E17:E19"/>
    <mergeCell ref="F17:F19"/>
    <mergeCell ref="G17:G19"/>
    <mergeCell ref="S10:S15"/>
    <mergeCell ref="T10:T15"/>
    <mergeCell ref="G10:G15"/>
    <mergeCell ref="H10:H15"/>
    <mergeCell ref="I10:I15"/>
    <mergeCell ref="H17:H19"/>
    <mergeCell ref="I17:I19"/>
    <mergeCell ref="J17:J19"/>
    <mergeCell ref="K17:K19"/>
    <mergeCell ref="L17:L19"/>
    <mergeCell ref="M17:M19"/>
    <mergeCell ref="D10:D15"/>
    <mergeCell ref="F10:F15"/>
    <mergeCell ref="E10:E15"/>
    <mergeCell ref="AQ17:AQ19"/>
    <mergeCell ref="AR17:AR19"/>
    <mergeCell ref="AS17:AS19"/>
    <mergeCell ref="N17:N19"/>
    <mergeCell ref="O17:O19"/>
    <mergeCell ref="P17:P19"/>
    <mergeCell ref="Q17:Q19"/>
    <mergeCell ref="R17:R19"/>
    <mergeCell ref="S17:S19"/>
    <mergeCell ref="AL17:AL19"/>
    <mergeCell ref="AM17:AM19"/>
    <mergeCell ref="AF17:AF19"/>
    <mergeCell ref="AG17:AG19"/>
    <mergeCell ref="AH17:AH19"/>
    <mergeCell ref="AI17:AI19"/>
    <mergeCell ref="AJ17:AJ19"/>
    <mergeCell ref="AK17:AK19"/>
    <mergeCell ref="C20:C22"/>
    <mergeCell ref="D20:D22"/>
    <mergeCell ref="E20:E22"/>
    <mergeCell ref="F20:F22"/>
    <mergeCell ref="G20:G22"/>
    <mergeCell ref="H20:H22"/>
    <mergeCell ref="AN17:AN19"/>
    <mergeCell ref="AO17:AO19"/>
    <mergeCell ref="AP17:AP19"/>
    <mergeCell ref="R20:R22"/>
    <mergeCell ref="S20:S22"/>
    <mergeCell ref="T20:T22"/>
    <mergeCell ref="U20:U22"/>
    <mergeCell ref="V20:V22"/>
    <mergeCell ref="I20:I22"/>
    <mergeCell ref="J20:J22"/>
    <mergeCell ref="K20:K22"/>
    <mergeCell ref="L20:L22"/>
    <mergeCell ref="M20:M22"/>
    <mergeCell ref="N20:N22"/>
    <mergeCell ref="AC17:AC19"/>
    <mergeCell ref="AD17:AD19"/>
    <mergeCell ref="AE17:AE19"/>
    <mergeCell ref="T17:T19"/>
    <mergeCell ref="U17:U19"/>
    <mergeCell ref="V17:V19"/>
    <mergeCell ref="W17:W19"/>
    <mergeCell ref="X17:X19"/>
    <mergeCell ref="Y17:Y19"/>
    <mergeCell ref="Z17:Z19"/>
    <mergeCell ref="AA17:AA19"/>
    <mergeCell ref="AB17:AB19"/>
    <mergeCell ref="C6:AS6"/>
    <mergeCell ref="C23:C25"/>
    <mergeCell ref="D26:E28"/>
    <mergeCell ref="G26:G28"/>
    <mergeCell ref="F26:F28"/>
    <mergeCell ref="D23:F25"/>
    <mergeCell ref="G23:I25"/>
    <mergeCell ref="J23:L25"/>
    <mergeCell ref="AN20:AN22"/>
    <mergeCell ref="AO20:AO22"/>
    <mergeCell ref="AP20:AP22"/>
    <mergeCell ref="AQ20:AQ22"/>
    <mergeCell ref="AR20:AR22"/>
    <mergeCell ref="AA20:AA22"/>
    <mergeCell ref="AB20:AB22"/>
    <mergeCell ref="AC20:AC22"/>
    <mergeCell ref="AD20:AD22"/>
    <mergeCell ref="AE20:AE22"/>
    <mergeCell ref="W20:W22"/>
    <mergeCell ref="X20:X22"/>
    <mergeCell ref="Y20:Y22"/>
    <mergeCell ref="Z20:Z22"/>
    <mergeCell ref="O20:O22"/>
    <mergeCell ref="P20:P22"/>
    <mergeCell ref="Y40:Z40"/>
    <mergeCell ref="Y41:Z41"/>
    <mergeCell ref="Y42:Z42"/>
    <mergeCell ref="AA40:AB40"/>
    <mergeCell ref="AE23:AG25"/>
    <mergeCell ref="AH23:AJ25"/>
    <mergeCell ref="AK23:AM25"/>
    <mergeCell ref="AL20:AL22"/>
    <mergeCell ref="AM20:AM22"/>
    <mergeCell ref="AF20:AF22"/>
    <mergeCell ref="AG20:AG22"/>
    <mergeCell ref="AH20:AH22"/>
    <mergeCell ref="AI20:AI22"/>
    <mergeCell ref="Y23:AA25"/>
    <mergeCell ref="AB23:AD25"/>
    <mergeCell ref="W44:X44"/>
    <mergeCell ref="W45:X45"/>
    <mergeCell ref="U32:V32"/>
    <mergeCell ref="U33:V33"/>
    <mergeCell ref="U34:V34"/>
    <mergeCell ref="U35:V35"/>
    <mergeCell ref="U36:V36"/>
    <mergeCell ref="U37:V37"/>
    <mergeCell ref="U38:V38"/>
    <mergeCell ref="U39:V39"/>
    <mergeCell ref="W40:X40"/>
    <mergeCell ref="W41:X41"/>
    <mergeCell ref="W42:X42"/>
    <mergeCell ref="W43:X43"/>
    <mergeCell ref="W36:X36"/>
    <mergeCell ref="W37:X37"/>
    <mergeCell ref="W38:X38"/>
    <mergeCell ref="T52:V52"/>
    <mergeCell ref="W52:Y52"/>
    <mergeCell ref="Z52:AB52"/>
    <mergeCell ref="T53:V53"/>
    <mergeCell ref="W53:Y53"/>
    <mergeCell ref="Z53:AB53"/>
    <mergeCell ref="U46:V47"/>
    <mergeCell ref="Y31:Z31"/>
    <mergeCell ref="Y32:Z32"/>
    <mergeCell ref="Y33:Z33"/>
    <mergeCell ref="Y34:Z34"/>
    <mergeCell ref="Y35:Z35"/>
    <mergeCell ref="Y36:Z36"/>
    <mergeCell ref="Y37:Z37"/>
    <mergeCell ref="Y38:Z38"/>
    <mergeCell ref="Y39:Z39"/>
    <mergeCell ref="Y46:Z47"/>
    <mergeCell ref="AA31:AB31"/>
    <mergeCell ref="AA32:AB32"/>
    <mergeCell ref="AA33:AB33"/>
    <mergeCell ref="AA34:AB34"/>
    <mergeCell ref="AA35:AB35"/>
    <mergeCell ref="AA36:AB36"/>
    <mergeCell ref="AA37:AB37"/>
    <mergeCell ref="B3:AT4"/>
    <mergeCell ref="U41:V41"/>
    <mergeCell ref="U42:V42"/>
    <mergeCell ref="U43:V43"/>
    <mergeCell ref="U44:V44"/>
    <mergeCell ref="U45:V45"/>
    <mergeCell ref="W39:X39"/>
    <mergeCell ref="AA41:AB41"/>
    <mergeCell ref="AA42:AB42"/>
    <mergeCell ref="AA43:AB43"/>
    <mergeCell ref="AA44:AB44"/>
    <mergeCell ref="AA45:AB45"/>
    <mergeCell ref="Y43:Z43"/>
    <mergeCell ref="Y44:Z44"/>
    <mergeCell ref="Y45:Z45"/>
    <mergeCell ref="AA38:AB38"/>
    <mergeCell ref="AA39:AB39"/>
    <mergeCell ref="U40:V40"/>
    <mergeCell ref="U31:V31"/>
    <mergeCell ref="W31:X31"/>
    <mergeCell ref="W32:X32"/>
    <mergeCell ref="W33:X33"/>
    <mergeCell ref="W34:X34"/>
    <mergeCell ref="W35:X35"/>
    <mergeCell ref="AK7:AS7"/>
    <mergeCell ref="Y7:AJ7"/>
    <mergeCell ref="M7:X7"/>
    <mergeCell ref="D7:L7"/>
    <mergeCell ref="C31:E31"/>
    <mergeCell ref="C32:E32"/>
    <mergeCell ref="C33:E33"/>
    <mergeCell ref="C34:E34"/>
    <mergeCell ref="F31:G31"/>
    <mergeCell ref="F32:G32"/>
    <mergeCell ref="F33:G33"/>
    <mergeCell ref="F34:G34"/>
    <mergeCell ref="AJ20:AJ22"/>
    <mergeCell ref="AK20:AK22"/>
    <mergeCell ref="AN23:AP25"/>
    <mergeCell ref="AQ23:AS25"/>
    <mergeCell ref="C26:C28"/>
    <mergeCell ref="M23:O25"/>
    <mergeCell ref="P23:R25"/>
    <mergeCell ref="S23:U25"/>
    <mergeCell ref="V23:X25"/>
    <mergeCell ref="AS20:AS22"/>
    <mergeCell ref="C10:C15"/>
    <mergeCell ref="Q20:Q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enu" altText="REGRESAR ">
                <anchor moveWithCells="1" sizeWithCells="1">
                  <from>
                    <xdr:col>14</xdr:col>
                    <xdr:colOff>581025</xdr:colOff>
                    <xdr:row>37</xdr:row>
                    <xdr:rowOff>114300</xdr:rowOff>
                  </from>
                  <to>
                    <xdr:col>16</xdr:col>
                    <xdr:colOff>685800</xdr:colOff>
                    <xdr:row>40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RESULTEMP">
                <anchor moveWithCells="1" sizeWithCells="1">
                  <from>
                    <xdr:col>29</xdr:col>
                    <xdr:colOff>695325</xdr:colOff>
                    <xdr:row>37</xdr:row>
                    <xdr:rowOff>123825</xdr:rowOff>
                  </from>
                  <to>
                    <xdr:col>32</xdr:col>
                    <xdr:colOff>47625</xdr:colOff>
                    <xdr:row>40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>
    <pageSetUpPr fitToPage="1"/>
  </sheetPr>
  <dimension ref="A1"/>
  <sheetViews>
    <sheetView showGridLines="0" showRowColHeaders="0" zoomScale="40" zoomScaleNormal="40" workbookViewId="0"/>
  </sheetViews>
  <sheetFormatPr baseColWidth="10" defaultRowHeight="15"/>
  <sheetData/>
  <pageMargins left="0.23622047244094491" right="0.23622047244094491" top="0.39370078740157483" bottom="0.74803149606299213" header="0.31496062992125984" footer="0.31496062992125984"/>
  <pageSetup paperSize="9" scale="2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iempo">
                <anchor moveWithCells="1" sizeWithCells="1">
                  <from>
                    <xdr:col>19</xdr:col>
                    <xdr:colOff>485775</xdr:colOff>
                    <xdr:row>42</xdr:row>
                    <xdr:rowOff>19050</xdr:rowOff>
                  </from>
                  <to>
                    <xdr:col>21</xdr:col>
                    <xdr:colOff>581025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VT">
                <anchor moveWithCells="1" sizeWithCells="1">
                  <from>
                    <xdr:col>22</xdr:col>
                    <xdr:colOff>285750</xdr:colOff>
                    <xdr:row>42</xdr:row>
                    <xdr:rowOff>19050</xdr:rowOff>
                  </from>
                  <to>
                    <xdr:col>24</xdr:col>
                    <xdr:colOff>381000</xdr:colOff>
                    <xdr:row>44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D5551-F5A3-4E63-80E9-1AA41DC57299}">
  <sheetPr codeName="Hoja11"/>
  <dimension ref="A1"/>
  <sheetViews>
    <sheetView showGridLines="0" showRowColHeaders="0" workbookViewId="0">
      <selection activeCell="D11" sqref="D11"/>
    </sheetView>
  </sheetViews>
  <sheetFormatPr baseColWidth="10"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RESULTEMP">
                <anchor moveWithCells="1" sizeWithCells="1">
                  <from>
                    <xdr:col>1</xdr:col>
                    <xdr:colOff>76200</xdr:colOff>
                    <xdr:row>7</xdr:row>
                    <xdr:rowOff>161925</xdr:rowOff>
                  </from>
                  <to>
                    <xdr:col>2</xdr:col>
                    <xdr:colOff>628650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Presentación</vt:lpstr>
      <vt:lpstr>Menú</vt:lpstr>
      <vt:lpstr>Costo de Materiales</vt:lpstr>
      <vt:lpstr>Resultado de Costos</vt:lpstr>
      <vt:lpstr>Diagrama Venn - Costos</vt:lpstr>
      <vt:lpstr>Asistencia </vt:lpstr>
      <vt:lpstr>Resultado de Asistencia</vt:lpstr>
      <vt:lpstr>Diagrama Venn -Asistencia</vt:lpstr>
      <vt:lpstr>Tiempo</vt:lpstr>
      <vt:lpstr>Resultados de Tiempo </vt:lpstr>
      <vt:lpstr>Diagrama Venn - Tiempo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</dc:creator>
  <cp:lastModifiedBy>ISAAC</cp:lastModifiedBy>
  <cp:lastPrinted>2023-05-14T23:11:57Z</cp:lastPrinted>
  <dcterms:created xsi:type="dcterms:W3CDTF">2023-03-13T03:56:29Z</dcterms:created>
  <dcterms:modified xsi:type="dcterms:W3CDTF">2023-05-21T21:54:50Z</dcterms:modified>
</cp:coreProperties>
</file>